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-PC\Ravens\Senior Open 2026\"/>
    </mc:Choice>
  </mc:AlternateContent>
  <xr:revisionPtr revIDLastSave="0" documentId="13_ncr:1_{2653D32C-E38E-41A4-ABB8-6028FF8FA09D}" xr6:coauthVersionLast="47" xr6:coauthVersionMax="47" xr10:uidLastSave="{00000000-0000-0000-0000-000000000000}"/>
  <bookViews>
    <workbookView xWindow="-120" yWindow="-120" windowWidth="29040" windowHeight="15720" firstSheet="1" activeTab="2" xr2:uid="{264A1161-47FB-460F-8362-5F7BA003EA4C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3" l="1" a="1"/>
  <c r="A2" i="3" s="1"/>
  <c r="H86" i="1"/>
  <c r="I86" i="1"/>
  <c r="L82" i="1"/>
  <c r="M82" i="1" s="1"/>
  <c r="L83" i="1"/>
  <c r="M83" i="1" s="1"/>
  <c r="L80" i="1"/>
  <c r="M80" i="1" s="1"/>
  <c r="L81" i="1"/>
  <c r="M81" i="1" s="1"/>
  <c r="L84" i="1"/>
  <c r="M84" i="1" s="1"/>
  <c r="K86" i="1"/>
  <c r="L79" i="1"/>
  <c r="M79" i="1" s="1"/>
  <c r="L75" i="1"/>
  <c r="M75" i="1" s="1"/>
  <c r="L76" i="1"/>
  <c r="M76" i="1" s="1"/>
  <c r="L77" i="1"/>
  <c r="M77" i="1" s="1"/>
  <c r="L78" i="1"/>
  <c r="M78" i="1" s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H85" i="1"/>
  <c r="I85" i="1"/>
  <c r="J85" i="1"/>
  <c r="K85" i="1"/>
  <c r="M8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<sst xmlns="http://schemas.openxmlformats.org/spreadsheetml/2006/main" count="354" uniqueCount="216">
  <si>
    <t>Le Roux Strydom</t>
  </si>
  <si>
    <t>Maties</t>
  </si>
  <si>
    <t>DJ Swanevelder</t>
  </si>
  <si>
    <t>Tian Louw</t>
  </si>
  <si>
    <t>Name</t>
  </si>
  <si>
    <t>Club</t>
  </si>
  <si>
    <t>2nd &amp; Below</t>
  </si>
  <si>
    <t>5th &amp; Below</t>
  </si>
  <si>
    <t>Senior Women</t>
  </si>
  <si>
    <t>Senior Men</t>
  </si>
  <si>
    <t>Shaun Jones</t>
  </si>
  <si>
    <t>Duinefontein TTC</t>
  </si>
  <si>
    <t>Shonah Jones</t>
  </si>
  <si>
    <t>Jerome Davies</t>
  </si>
  <si>
    <t>Tazmin Harris</t>
  </si>
  <si>
    <t>Dirk Coetzee</t>
  </si>
  <si>
    <t>Tayla Bailey</t>
  </si>
  <si>
    <t>Adam Domingo</t>
  </si>
  <si>
    <t>Allan Clark</t>
  </si>
  <si>
    <t>TOP</t>
  </si>
  <si>
    <t>Quentin Thomas</t>
  </si>
  <si>
    <t>STEPH'S</t>
  </si>
  <si>
    <t>Sedick Abrahams</t>
  </si>
  <si>
    <t>Muaath Adams</t>
  </si>
  <si>
    <t>NEXUS</t>
  </si>
  <si>
    <t>Zahier Isaacs</t>
  </si>
  <si>
    <t>Saaliegh Jabaar</t>
  </si>
  <si>
    <t>Amien Phillips</t>
  </si>
  <si>
    <t>Timothy Sabad</t>
  </si>
  <si>
    <t>Sameer Parker</t>
  </si>
  <si>
    <t>Rick Solomons</t>
  </si>
  <si>
    <t>Rafiq Tofa</t>
  </si>
  <si>
    <t>Deon Booysen</t>
  </si>
  <si>
    <t>Sabri De Sani</t>
  </si>
  <si>
    <t>Craig Fortuin</t>
  </si>
  <si>
    <t>Jodie Galant</t>
  </si>
  <si>
    <t>Community House</t>
  </si>
  <si>
    <t xml:space="preserve">Mujaid Hoffman </t>
  </si>
  <si>
    <t>Lawrence Omadeli</t>
  </si>
  <si>
    <t>Yusuf Ebrahim</t>
  </si>
  <si>
    <t>Felix Monday</t>
  </si>
  <si>
    <t>Dave Sanusi</t>
  </si>
  <si>
    <t>Janine Sait</t>
  </si>
  <si>
    <t>Elijah Trout</t>
  </si>
  <si>
    <t>Lateef Samad</t>
  </si>
  <si>
    <t>Bernard Stewe</t>
  </si>
  <si>
    <t>David Nwafor</t>
  </si>
  <si>
    <t>Enrico Louw</t>
  </si>
  <si>
    <t>Andre Taljaard</t>
  </si>
  <si>
    <t>Delton Alexander</t>
  </si>
  <si>
    <t>Brendan o' Connell</t>
  </si>
  <si>
    <t>Pedro Fortuin</t>
  </si>
  <si>
    <t>Goodwood</t>
  </si>
  <si>
    <t xml:space="preserve">Liqhawe Pepeta </t>
  </si>
  <si>
    <t>CPUT</t>
  </si>
  <si>
    <t xml:space="preserve">Scelo Mkhetho </t>
  </si>
  <si>
    <t xml:space="preserve">Hopewell Ntuli </t>
  </si>
  <si>
    <t xml:space="preserve">Liyema Fiyo </t>
  </si>
  <si>
    <t>Zizipho Ntlali</t>
  </si>
  <si>
    <t>Noah Phiri</t>
  </si>
  <si>
    <t>Musfiquh Kalam</t>
  </si>
  <si>
    <t xml:space="preserve">Boundary </t>
  </si>
  <si>
    <t>Tamika Van Aa</t>
  </si>
  <si>
    <t>Boundary</t>
  </si>
  <si>
    <t>Graham Van As</t>
  </si>
  <si>
    <t>Ashley Wesson</t>
  </si>
  <si>
    <t>Liv Ken</t>
  </si>
  <si>
    <t>Soso</t>
  </si>
  <si>
    <t>Thabiet Adams</t>
  </si>
  <si>
    <t>Bishop Lavis</t>
  </si>
  <si>
    <t>Annie Wood</t>
  </si>
  <si>
    <t>Gideon Stompies</t>
  </si>
  <si>
    <t>Jordan Martin</t>
  </si>
  <si>
    <t>Jihaan Jacobs</t>
  </si>
  <si>
    <t>Jyante Jacobs</t>
  </si>
  <si>
    <t>Jayden Olivier</t>
  </si>
  <si>
    <t>Tamika Karra</t>
  </si>
  <si>
    <t>Aiden Oransie</t>
  </si>
  <si>
    <t>Joshua Du Plooy</t>
  </si>
  <si>
    <t>Ravens</t>
  </si>
  <si>
    <t>Rogan Fortuin</t>
  </si>
  <si>
    <t>Total</t>
  </si>
  <si>
    <t>Registered League</t>
  </si>
  <si>
    <t>Current League Rank</t>
  </si>
  <si>
    <t>SATTB Rank</t>
  </si>
  <si>
    <t>Maties Rank</t>
  </si>
  <si>
    <t>Ezra Msindeni</t>
  </si>
  <si>
    <t>Shane Overmayer</t>
  </si>
  <si>
    <t>Demos Dracoulides</t>
  </si>
  <si>
    <t>Denver Sweatz</t>
  </si>
  <si>
    <t>Shakeel Hendricks</t>
  </si>
  <si>
    <t>Kirshwan Steyn</t>
  </si>
  <si>
    <t>Warren Julius</t>
  </si>
  <si>
    <t>Bounce TTC</t>
  </si>
  <si>
    <t>Date</t>
  </si>
  <si>
    <t>Time</t>
  </si>
  <si>
    <t>Welcoming</t>
  </si>
  <si>
    <t>2nd &amp; Below Group 1</t>
  </si>
  <si>
    <t>5th &amp; Below Group 1</t>
  </si>
  <si>
    <t>2nd &amp; Below Group 2</t>
  </si>
  <si>
    <t>5th &amp; Below Group 2</t>
  </si>
  <si>
    <t>5th &amp; Below Group 3</t>
  </si>
  <si>
    <t>5th &amp; Below Group 4</t>
  </si>
  <si>
    <t>5th &amp; Below Group 5</t>
  </si>
  <si>
    <t>5th &amp; Below Group 6</t>
  </si>
  <si>
    <t>5th &amp; Below Group 7</t>
  </si>
  <si>
    <t>5th &amp; Below Group 8</t>
  </si>
  <si>
    <t>5th &amp; Below Round 16 Match 2</t>
  </si>
  <si>
    <t>5th &amp; Below Round 16 Match 3</t>
  </si>
  <si>
    <t>5th &amp; Below Round 16 Match 4</t>
  </si>
  <si>
    <t>5th &amp; Below Round 16 Match 5</t>
  </si>
  <si>
    <t>5th &amp; Below Round 16 Match 6</t>
  </si>
  <si>
    <t>5th &amp; Below Round 16 Match 7</t>
  </si>
  <si>
    <t>5th &amp; Below Round 16 Match 8</t>
  </si>
  <si>
    <t>5th &amp; Below Final</t>
  </si>
  <si>
    <t>5th &amp; Below Semi Final 1</t>
  </si>
  <si>
    <t>5th &amp; Below Semi Final 2</t>
  </si>
  <si>
    <t>5th &amp; Below Quarter Final 1</t>
  </si>
  <si>
    <t>5th &amp; Below Quarter Final 2</t>
  </si>
  <si>
    <t>5th &amp; Below Quater Final 3</t>
  </si>
  <si>
    <t>5th &amp; Below Quater Final 4</t>
  </si>
  <si>
    <t>2nd &amp; Below Group 3</t>
  </si>
  <si>
    <t>2nd &amp; Below Group 4</t>
  </si>
  <si>
    <t>2nd &amp; Below Group 5</t>
  </si>
  <si>
    <t>2nd &amp; Below Group 6</t>
  </si>
  <si>
    <t>2nd &amp; Below Group 7</t>
  </si>
  <si>
    <t>2nd &amp; Below Group 8</t>
  </si>
  <si>
    <t>2nd &amp; Below Round 16 Match 1</t>
  </si>
  <si>
    <t>2nd &amp; Below Round 16 Match 2</t>
  </si>
  <si>
    <t>2nd &amp; Below Round 16 Match 3</t>
  </si>
  <si>
    <t>2nd &amp; Below Round 16 Match 4</t>
  </si>
  <si>
    <t>2nd &amp; Below Round 16 Match 5</t>
  </si>
  <si>
    <t>2nd &amp; Below Round 16 Match 6</t>
  </si>
  <si>
    <t>2nd &amp; Below Round 16 Match 7</t>
  </si>
  <si>
    <t>2nd &amp; Below Round 16 Match 8</t>
  </si>
  <si>
    <t>2nd &amp; Below Quarter Final 1</t>
  </si>
  <si>
    <t>2nd &amp; Below Quarter Final 2</t>
  </si>
  <si>
    <t>2nd &amp; Below Quater Final 3</t>
  </si>
  <si>
    <t>2nd &amp; Below Quater Final 4</t>
  </si>
  <si>
    <t>2nd &amp; Below Semi Final 1</t>
  </si>
  <si>
    <t>2nd &amp; Below Semi Final 2</t>
  </si>
  <si>
    <t>2nd &amp; Below Final</t>
  </si>
  <si>
    <t>Ladies Group 1</t>
  </si>
  <si>
    <t>Ladies Group 2</t>
  </si>
  <si>
    <t>Ladies Semi Final 1</t>
  </si>
  <si>
    <t>Ladies Semi Final 2</t>
  </si>
  <si>
    <t>Ladies Final</t>
  </si>
  <si>
    <t>Gentlmen's Group 1</t>
  </si>
  <si>
    <t>Gentlmen's Group 2</t>
  </si>
  <si>
    <t>Gentlmen's Group 3</t>
  </si>
  <si>
    <t>Gentlmen's Group 4</t>
  </si>
  <si>
    <t>Gentlmen's Group 5</t>
  </si>
  <si>
    <t>Gentlmen's Group 6</t>
  </si>
  <si>
    <t>Gentlmen's Group 7</t>
  </si>
  <si>
    <t>Gentlmen's Group 8</t>
  </si>
  <si>
    <t>Gentlmen's Round 16 Match 1</t>
  </si>
  <si>
    <t>Gentlmen's Round 16 Match 2</t>
  </si>
  <si>
    <t>Gentlmen's Round 16 Match 3</t>
  </si>
  <si>
    <t>Gentlmen's Round 16 Match 4</t>
  </si>
  <si>
    <t>Gentlmen's Round 16 Match 5</t>
  </si>
  <si>
    <t>Gentlmen's Round 16 Match 6</t>
  </si>
  <si>
    <t>Gentlmen's Round 16 Match 7</t>
  </si>
  <si>
    <t>Gentlmen's Round 16 Match 8</t>
  </si>
  <si>
    <t>Gentlmen's Quarter Final 1</t>
  </si>
  <si>
    <t>Gentlmen's Quarter Final 2</t>
  </si>
  <si>
    <t>Gentlmen's Quarter Final 3</t>
  </si>
  <si>
    <t>Gentlmen's Quarter Final 4</t>
  </si>
  <si>
    <t>Gentlmen's Semi Final 1</t>
  </si>
  <si>
    <t>Gentlmen's Semi Final 2</t>
  </si>
  <si>
    <t>Gentlmen's Final</t>
  </si>
  <si>
    <t>Medal Ceremony</t>
  </si>
  <si>
    <t>Gentlemens Entry List</t>
  </si>
  <si>
    <t>Ameen Jansen</t>
  </si>
  <si>
    <t>Column1</t>
  </si>
  <si>
    <t>Tashreeq Samodien</t>
  </si>
  <si>
    <t>Kirk Daries</t>
  </si>
  <si>
    <t>Gentlmen's Group 9</t>
  </si>
  <si>
    <t>Ethan Hinrichsen</t>
  </si>
  <si>
    <t>UCT</t>
  </si>
  <si>
    <t>Column2</t>
  </si>
  <si>
    <t>Premier</t>
  </si>
  <si>
    <t>1st</t>
  </si>
  <si>
    <t>4th</t>
  </si>
  <si>
    <t>2nd</t>
  </si>
  <si>
    <t>6th</t>
  </si>
  <si>
    <t>3rd</t>
  </si>
  <si>
    <t>5th</t>
  </si>
  <si>
    <t>Llewellyn Bartlett</t>
  </si>
  <si>
    <t>MP Royals</t>
  </si>
  <si>
    <t>Abubakr Manuel</t>
  </si>
  <si>
    <t>Yaqeen Manuel</t>
  </si>
  <si>
    <t>Faeez Zoutenburg</t>
  </si>
  <si>
    <t>Ilyaas Patel</t>
  </si>
  <si>
    <t>Gielie Matee</t>
  </si>
  <si>
    <t>Keenan Jooste</t>
  </si>
  <si>
    <t>Gaston Koetaan</t>
  </si>
  <si>
    <t>Miyah Williams</t>
  </si>
  <si>
    <t>Rubin Willemse</t>
  </si>
  <si>
    <t>Gentlmen's Group 10</t>
  </si>
  <si>
    <t>Gentlmen's Round 32 Match 1</t>
  </si>
  <si>
    <t>Gentlmen's Round 32 Match 2</t>
  </si>
  <si>
    <t>Gentlmen's Round 32 Match 3</t>
  </si>
  <si>
    <t>Gentlmen's Round 32 Match 4</t>
  </si>
  <si>
    <t>5th &amp; Below Group 9</t>
  </si>
  <si>
    <t>2nd &amp; Below Group 9</t>
  </si>
  <si>
    <t>2nd &amp; Below Group 10</t>
  </si>
  <si>
    <t>5th &amp; Below Round 32 Match 1</t>
  </si>
  <si>
    <t>5th &amp; Below Round 32 Match 2</t>
  </si>
  <si>
    <t>2nd &amp; Below Round 32 Match 1</t>
  </si>
  <si>
    <t>2nd &amp; Below Round 32 Match 2</t>
  </si>
  <si>
    <t>2nd &amp; Below Round 32 Match 3</t>
  </si>
  <si>
    <t>2nd &amp; Below Round 32 Match 4</t>
  </si>
  <si>
    <t>5th &amp; Below Round 16 Match1</t>
  </si>
  <si>
    <t>Day 1</t>
  </si>
  <si>
    <t>Day 2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</si>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</sst>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x;;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164" fontId="0" fillId="0" borderId="1" xfId="0" applyNumberFormat="1" applyBorder="1"/>
    <xf numFmtId="164" fontId="0" fillId="0" borderId="2" xfId="0" applyNumberFormat="1" applyBorder="1"/>
    <xf numFmtId="1" fontId="0" fillId="0" borderId="2" xfId="0" applyNumberFormat="1" applyBorder="1"/>
    <xf numFmtId="0" fontId="2" fillId="0" borderId="0" xfId="0" applyFont="1"/>
    <xf numFmtId="0" fontId="3" fillId="0" borderId="0" xfId="0" applyFont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15" fontId="0" fillId="0" borderId="6" xfId="0" applyNumberFormat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20" fontId="0" fillId="0" borderId="6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7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/>
    </xf>
    <xf numFmtId="15" fontId="0" fillId="0" borderId="6" xfId="0" applyNumberFormat="1" applyBorder="1" applyAlignment="1">
      <alignment horizontal="center"/>
    </xf>
    <xf numFmtId="0" fontId="4" fillId="0" borderId="5" xfId="0" applyFont="1" applyBorder="1"/>
    <xf numFmtId="164" fontId="4" fillId="0" borderId="5" xfId="0" applyNumberFormat="1" applyFont="1" applyBorder="1"/>
    <xf numFmtId="0" fontId="6" fillId="0" borderId="5" xfId="0" applyFont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0" builtinId="0"/>
    <cellStyle name="Normal 2" xfId="1" xr:uid="{874BD9BD-1606-40B6-95A9-D06C7CFE4EDB}"/>
  </cellStyles>
  <dxfs count="3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numFmt numFmtId="0" formatCode="General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medium">
          <color auto="1"/>
        </vertical>
        <horizontal style="thin">
          <color auto="1"/>
        </horizontal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F57D0-72E5-447F-A3B0-45114F2DF106}" name="Table1" displayName="Table1" ref="A1:M85" totalsRowCount="1" headerRowDxfId="32">
  <autoFilter ref="A1:M84" xr:uid="{CB2F57D0-72E5-447F-A3B0-45114F2DF106}"/>
  <tableColumns count="13">
    <tableColumn id="1" xr3:uid="{2E76C30E-1712-40BE-9549-71C9C93B502D}" name="Name" totalsRowLabel="Total" dataDxfId="31" totalsRowDxfId="19"/>
    <tableColumn id="2" xr3:uid="{B49483E4-5D8F-40B6-8641-DD9E65DC8898}" name="Club" dataDxfId="30" totalsRowDxfId="18"/>
    <tableColumn id="13" xr3:uid="{059F9E1A-99DD-4E87-BCC2-21ED7DCBC75C}" name="Paid" dataDxfId="6" totalsRowDxfId="7"/>
    <tableColumn id="3" xr3:uid="{6D81A917-4325-4EEA-A94E-463FBA3CD2DE}" name="Registered League" dataDxfId="29" totalsRowDxfId="17"/>
    <tableColumn id="9" xr3:uid="{77DB4597-4DE2-49A3-8551-3945B9C26A0F}" name="Current League Rank" dataDxfId="28" totalsRowDxfId="16"/>
    <tableColumn id="8" xr3:uid="{28EE5F78-650B-40EA-9D3E-86070DEB6E33}" name="SATTB Rank" dataDxfId="27" totalsRowDxfId="15"/>
    <tableColumn id="10" xr3:uid="{B0512E74-2097-4749-8D71-028F16552145}" name="Maties Rank" dataDxfId="26" totalsRowDxfId="14"/>
    <tableColumn id="4" xr3:uid="{33263E04-7CFE-40B1-A063-335CFE82FBBA}" name="2nd &amp; Below" totalsRowFunction="custom" dataDxfId="25" totalsRowDxfId="13">
      <totalsRowFormula>COUNTIF(Table1[2nd &amp; Below],TRUE)</totalsRowFormula>
    </tableColumn>
    <tableColumn id="5" xr3:uid="{0F990E8B-E4C9-4D0D-9CC5-A6D55E12654F}" name="5th &amp; Below" totalsRowFunction="custom" dataDxfId="24" totalsRowDxfId="12">
      <totalsRowFormula>COUNTIF(Table1[5th &amp; Below],TRUE)</totalsRowFormula>
    </tableColumn>
    <tableColumn id="6" xr3:uid="{E3251279-4988-46EB-AD20-00F1E80654F1}" name="Senior Women" totalsRowFunction="custom" dataDxfId="23" totalsRowDxfId="11">
      <totalsRowFormula>COUNTIF(Table1[Senior Women],TRUE)</totalsRowFormula>
    </tableColumn>
    <tableColumn id="7" xr3:uid="{D79D3630-5FB1-4D9E-A424-AC37ECA2C0CD}" name="Senior Men" totalsRowFunction="custom" dataDxfId="22" totalsRowDxfId="10">
      <totalsRowFormula>COUNTIF(Table1[Senior Men],TRUE)</totalsRowFormula>
    </tableColumn>
    <tableColumn id="11" xr3:uid="{AC7ED2C1-E830-49D6-B996-8C9D9B21457E}" name="Column1" dataDxfId="21" totalsRowDxfId="9">
      <calculatedColumnFormula>COUNTIF(Table1[[#This Row],[2nd &amp; Below]:[Senior Men]],TRUE)</calculatedColumnFormula>
    </tableColumn>
    <tableColumn id="12" xr3:uid="{524892D6-ACD8-434C-B13E-1FC70A4B293F}" name="Column2" totalsRowFunction="custom" dataDxfId="20" totalsRowDxfId="8">
      <calculatedColumnFormula>IF(Table1[[#This Row],[Column1]]=1,120,180)</calculatedColumnFormula>
      <totalsRowFormula>SUM(Table1[Column2])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0B90-59E8-48A5-BE0B-553311725E2A}">
  <sheetPr>
    <pageSetUpPr fitToPage="1"/>
  </sheetPr>
  <dimension ref="A1:M86"/>
  <sheetViews>
    <sheetView workbookViewId="0">
      <selection activeCell="A29" sqref="A29:B37"/>
    </sheetView>
  </sheetViews>
  <sheetFormatPr defaultRowHeight="15" x14ac:dyDescent="0.25"/>
  <cols>
    <col min="1" max="1" width="20.140625" bestFit="1" customWidth="1"/>
    <col min="2" max="2" width="17.28515625" bestFit="1" customWidth="1"/>
    <col min="3" max="3" width="17.28515625" customWidth="1"/>
    <col min="4" max="7" width="16" customWidth="1"/>
    <col min="8" max="8" width="14" customWidth="1"/>
    <col min="9" max="9" width="13.5703125" customWidth="1"/>
    <col min="10" max="10" width="16.42578125" customWidth="1"/>
    <col min="11" max="11" width="13.28515625" customWidth="1"/>
  </cols>
  <sheetData>
    <row r="1" spans="1:13" s="1" customFormat="1" ht="30.75" thickBot="1" x14ac:dyDescent="0.3">
      <c r="A1" s="1" t="s">
        <v>4</v>
      </c>
      <c r="B1" s="1" t="s">
        <v>5</v>
      </c>
      <c r="C1" s="1" t="s">
        <v>215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173</v>
      </c>
      <c r="M1" s="1" t="s">
        <v>179</v>
      </c>
    </row>
    <row r="2" spans="1:13" x14ac:dyDescent="0.25">
      <c r="A2" s="2" t="s">
        <v>0</v>
      </c>
      <c r="B2" s="2" t="s">
        <v>1</v>
      </c>
      <c r="C2" s="31" t="b">
        <v>0</v>
      </c>
      <c r="D2" s="2"/>
      <c r="E2" s="2"/>
      <c r="F2" s="2">
        <v>266</v>
      </c>
      <c r="G2" s="2"/>
      <c r="H2" s="6" t="b">
        <v>1</v>
      </c>
      <c r="I2" s="6" t="b">
        <v>0</v>
      </c>
      <c r="J2" s="6" t="b">
        <v>0</v>
      </c>
      <c r="K2" s="6" t="b">
        <v>1</v>
      </c>
      <c r="L2" s="11">
        <f>COUNTIF(Table1[[#This Row],[2nd &amp; Below]:[Senior Men]],TRUE)</f>
        <v>2</v>
      </c>
      <c r="M2" s="11">
        <f>IF(Table1[[#This Row],[Column1]]=1,120,180)</f>
        <v>180</v>
      </c>
    </row>
    <row r="3" spans="1:13" x14ac:dyDescent="0.25">
      <c r="A3" s="3" t="s">
        <v>2</v>
      </c>
      <c r="B3" s="3" t="s">
        <v>1</v>
      </c>
      <c r="C3" s="32" t="b">
        <v>1</v>
      </c>
      <c r="D3" s="3"/>
      <c r="E3" s="3"/>
      <c r="F3" s="3"/>
      <c r="G3" s="3"/>
      <c r="H3" s="7" t="b">
        <v>1</v>
      </c>
      <c r="I3" s="7" t="b">
        <v>0</v>
      </c>
      <c r="J3" s="7" t="b">
        <v>0</v>
      </c>
      <c r="K3" s="7" t="b">
        <v>1</v>
      </c>
      <c r="L3" s="3">
        <f>COUNTIF(Table1[[#This Row],[2nd &amp; Below]:[Senior Men]],TRUE)</f>
        <v>2</v>
      </c>
      <c r="M3" s="3">
        <f>IF(Table1[[#This Row],[Column1]]=1,120,180)</f>
        <v>180</v>
      </c>
    </row>
    <row r="4" spans="1:13" x14ac:dyDescent="0.25">
      <c r="A4" s="3" t="s">
        <v>3</v>
      </c>
      <c r="B4" s="3" t="s">
        <v>1</v>
      </c>
      <c r="C4" s="32" t="b">
        <v>0</v>
      </c>
      <c r="D4" s="3"/>
      <c r="E4" s="3"/>
      <c r="F4" s="3">
        <v>110</v>
      </c>
      <c r="G4" s="3"/>
      <c r="H4" s="7" t="b">
        <v>1</v>
      </c>
      <c r="I4" s="7" t="b">
        <v>0</v>
      </c>
      <c r="J4" s="7" t="b">
        <v>0</v>
      </c>
      <c r="K4" s="7" t="b">
        <v>0</v>
      </c>
      <c r="L4" s="3">
        <f>COUNTIF(Table1[[#This Row],[2nd &amp; Below]:[Senior Men]],TRUE)</f>
        <v>1</v>
      </c>
      <c r="M4" s="3">
        <f>IF(Table1[[#This Row],[Column1]]=1,120,180)</f>
        <v>120</v>
      </c>
    </row>
    <row r="5" spans="1:13" x14ac:dyDescent="0.25">
      <c r="A5" s="3" t="s">
        <v>10</v>
      </c>
      <c r="B5" s="3" t="s">
        <v>11</v>
      </c>
      <c r="C5" s="32" t="b">
        <v>0</v>
      </c>
      <c r="D5" s="3" t="s">
        <v>180</v>
      </c>
      <c r="E5" s="3">
        <v>2</v>
      </c>
      <c r="F5" s="3">
        <v>24</v>
      </c>
      <c r="G5" s="3"/>
      <c r="H5" s="7" t="b">
        <v>0</v>
      </c>
      <c r="I5" s="7" t="b">
        <v>0</v>
      </c>
      <c r="J5" s="7" t="b">
        <v>0</v>
      </c>
      <c r="K5" s="7" t="b">
        <v>1</v>
      </c>
      <c r="L5" s="3">
        <f>COUNTIF(Table1[[#This Row],[2nd &amp; Below]:[Senior Men]],TRUE)</f>
        <v>1</v>
      </c>
      <c r="M5" s="3">
        <f>IF(Table1[[#This Row],[Column1]]=1,120,180)</f>
        <v>120</v>
      </c>
    </row>
    <row r="6" spans="1:13" x14ac:dyDescent="0.25">
      <c r="A6" s="3" t="s">
        <v>12</v>
      </c>
      <c r="B6" s="3" t="s">
        <v>11</v>
      </c>
      <c r="C6" s="32" t="b">
        <v>0</v>
      </c>
      <c r="D6" s="3"/>
      <c r="E6" s="3"/>
      <c r="F6" s="3">
        <v>2</v>
      </c>
      <c r="G6" s="3"/>
      <c r="H6" s="7" t="b">
        <v>0</v>
      </c>
      <c r="I6" s="7" t="b">
        <v>1</v>
      </c>
      <c r="J6" s="7" t="b">
        <v>1</v>
      </c>
      <c r="K6" s="7" t="b">
        <v>0</v>
      </c>
      <c r="L6" s="3">
        <f>COUNTIF(Table1[[#This Row],[2nd &amp; Below]:[Senior Men]],TRUE)</f>
        <v>2</v>
      </c>
      <c r="M6" s="3">
        <f>IF(Table1[[#This Row],[Column1]]=1,120,180)</f>
        <v>180</v>
      </c>
    </row>
    <row r="7" spans="1:13" x14ac:dyDescent="0.25">
      <c r="A7" s="3" t="s">
        <v>13</v>
      </c>
      <c r="B7" s="3" t="s">
        <v>11</v>
      </c>
      <c r="C7" s="32" t="b">
        <v>0</v>
      </c>
      <c r="D7" s="3" t="s">
        <v>181</v>
      </c>
      <c r="E7" s="3">
        <v>15</v>
      </c>
      <c r="F7" s="3">
        <v>150</v>
      </c>
      <c r="G7" s="3"/>
      <c r="H7" s="7" t="b">
        <v>0</v>
      </c>
      <c r="I7" s="7" t="b">
        <v>0</v>
      </c>
      <c r="J7" s="7" t="b">
        <v>0</v>
      </c>
      <c r="K7" s="7" t="b">
        <v>1</v>
      </c>
      <c r="L7" s="3">
        <f>COUNTIF(Table1[[#This Row],[2nd &amp; Below]:[Senior Men]],TRUE)</f>
        <v>1</v>
      </c>
      <c r="M7" s="3">
        <f>IF(Table1[[#This Row],[Column1]]=1,120,180)</f>
        <v>120</v>
      </c>
    </row>
    <row r="8" spans="1:13" x14ac:dyDescent="0.25">
      <c r="A8" s="3" t="s">
        <v>14</v>
      </c>
      <c r="B8" s="3" t="s">
        <v>11</v>
      </c>
      <c r="C8" s="32" t="b">
        <v>0</v>
      </c>
      <c r="D8" s="3" t="s">
        <v>182</v>
      </c>
      <c r="E8" s="3">
        <v>18</v>
      </c>
      <c r="F8" s="3">
        <v>14</v>
      </c>
      <c r="G8" s="3"/>
      <c r="H8" s="7" t="b">
        <v>1</v>
      </c>
      <c r="I8" s="7" t="b">
        <v>0</v>
      </c>
      <c r="J8" s="7" t="b">
        <v>0</v>
      </c>
      <c r="K8" s="7" t="b">
        <v>0</v>
      </c>
      <c r="L8" s="3">
        <f>COUNTIF(Table1[[#This Row],[2nd &amp; Below]:[Senior Men]],TRUE)</f>
        <v>1</v>
      </c>
      <c r="M8" s="3">
        <f>IF(Table1[[#This Row],[Column1]]=1,120,180)</f>
        <v>120</v>
      </c>
    </row>
    <row r="9" spans="1:13" x14ac:dyDescent="0.25">
      <c r="A9" s="3" t="s">
        <v>15</v>
      </c>
      <c r="B9" s="3" t="s">
        <v>11</v>
      </c>
      <c r="C9" s="32" t="b">
        <v>0</v>
      </c>
      <c r="D9" s="3" t="s">
        <v>181</v>
      </c>
      <c r="E9" s="3">
        <v>23</v>
      </c>
      <c r="F9" s="3">
        <v>47</v>
      </c>
      <c r="G9" s="3"/>
      <c r="H9" s="8" t="b">
        <v>0</v>
      </c>
      <c r="I9" s="7" t="b">
        <v>0</v>
      </c>
      <c r="J9" s="7" t="b">
        <v>0</v>
      </c>
      <c r="K9" s="7" t="b">
        <v>1</v>
      </c>
      <c r="L9" s="3">
        <f>COUNTIF(Table1[[#This Row],[2nd &amp; Below]:[Senior Men]],TRUE)</f>
        <v>1</v>
      </c>
      <c r="M9" s="3">
        <f>IF(Table1[[#This Row],[Column1]]=1,120,180)</f>
        <v>120</v>
      </c>
    </row>
    <row r="10" spans="1:13" x14ac:dyDescent="0.25">
      <c r="A10" s="3" t="s">
        <v>16</v>
      </c>
      <c r="B10" s="3" t="s">
        <v>11</v>
      </c>
      <c r="C10" s="32" t="b">
        <v>0</v>
      </c>
      <c r="D10" s="3" t="s">
        <v>181</v>
      </c>
      <c r="E10" s="3">
        <v>22</v>
      </c>
      <c r="F10" s="3">
        <v>7</v>
      </c>
      <c r="G10" s="3"/>
      <c r="H10" s="7" t="b">
        <v>0</v>
      </c>
      <c r="I10" s="7" t="b">
        <v>0</v>
      </c>
      <c r="J10" s="7" t="b">
        <v>1</v>
      </c>
      <c r="K10" s="7" t="b">
        <v>0</v>
      </c>
      <c r="L10" s="3">
        <f>COUNTIF(Table1[[#This Row],[2nd &amp; Below]:[Senior Men]],TRUE)</f>
        <v>1</v>
      </c>
      <c r="M10" s="3">
        <f>IF(Table1[[#This Row],[Column1]]=1,120,180)</f>
        <v>120</v>
      </c>
    </row>
    <row r="11" spans="1:13" x14ac:dyDescent="0.25">
      <c r="A11" s="3" t="s">
        <v>17</v>
      </c>
      <c r="B11" s="3" t="s">
        <v>11</v>
      </c>
      <c r="C11" s="32" t="b">
        <v>0</v>
      </c>
      <c r="D11" s="3" t="s">
        <v>182</v>
      </c>
      <c r="E11" s="3">
        <v>3</v>
      </c>
      <c r="F11" s="3">
        <v>4</v>
      </c>
      <c r="G11" s="3"/>
      <c r="H11" s="7" t="b">
        <v>1</v>
      </c>
      <c r="I11" s="7" t="b">
        <v>0</v>
      </c>
      <c r="J11" s="7" t="b">
        <v>0</v>
      </c>
      <c r="K11" s="7" t="b">
        <v>1</v>
      </c>
      <c r="L11" s="3">
        <f>COUNTIF(Table1[[#This Row],[2nd &amp; Below]:[Senior Men]],TRUE)</f>
        <v>2</v>
      </c>
      <c r="M11" s="3">
        <f>IF(Table1[[#This Row],[Column1]]=1,120,180)</f>
        <v>180</v>
      </c>
    </row>
    <row r="12" spans="1:13" x14ac:dyDescent="0.25">
      <c r="A12" s="3" t="s">
        <v>18</v>
      </c>
      <c r="B12" s="3" t="s">
        <v>19</v>
      </c>
      <c r="C12" s="32" t="b">
        <v>1</v>
      </c>
      <c r="D12" s="3" t="s">
        <v>183</v>
      </c>
      <c r="E12" s="3">
        <v>15</v>
      </c>
      <c r="F12" s="3">
        <v>176</v>
      </c>
      <c r="G12" s="3"/>
      <c r="H12" s="7" t="b">
        <v>1</v>
      </c>
      <c r="I12" s="7" t="b">
        <v>0</v>
      </c>
      <c r="J12" s="7" t="b">
        <v>0</v>
      </c>
      <c r="K12" s="7" t="b">
        <v>0</v>
      </c>
      <c r="L12" s="3">
        <f>COUNTIF(Table1[[#This Row],[2nd &amp; Below]:[Senior Men]],TRUE)</f>
        <v>1</v>
      </c>
      <c r="M12" s="3">
        <f>IF(Table1[[#This Row],[Column1]]=1,120,180)</f>
        <v>120</v>
      </c>
    </row>
    <row r="13" spans="1:13" x14ac:dyDescent="0.25">
      <c r="A13" s="3" t="s">
        <v>20</v>
      </c>
      <c r="B13" s="3" t="s">
        <v>19</v>
      </c>
      <c r="C13" s="32" t="b">
        <v>1</v>
      </c>
      <c r="D13" s="3" t="s">
        <v>183</v>
      </c>
      <c r="E13" s="3">
        <v>24</v>
      </c>
      <c r="F13" s="3">
        <v>161</v>
      </c>
      <c r="G13" s="3"/>
      <c r="H13" s="7" t="b">
        <v>1</v>
      </c>
      <c r="I13" s="7" t="b">
        <v>0</v>
      </c>
      <c r="J13" s="7" t="b">
        <v>0</v>
      </c>
      <c r="K13" s="7" t="b">
        <v>0</v>
      </c>
      <c r="L13" s="3">
        <f>COUNTIF(Table1[[#This Row],[2nd &amp; Below]:[Senior Men]],TRUE)</f>
        <v>1</v>
      </c>
      <c r="M13" s="3">
        <f>IF(Table1[[#This Row],[Column1]]=1,120,180)</f>
        <v>120</v>
      </c>
    </row>
    <row r="14" spans="1:13" x14ac:dyDescent="0.25">
      <c r="A14" s="3" t="s">
        <v>172</v>
      </c>
      <c r="B14" s="3" t="s">
        <v>21</v>
      </c>
      <c r="C14" s="32" t="b">
        <v>0</v>
      </c>
      <c r="D14" s="3" t="s">
        <v>181</v>
      </c>
      <c r="E14" s="3">
        <v>28</v>
      </c>
      <c r="F14" s="3"/>
      <c r="G14" s="3"/>
      <c r="H14" s="7" t="b">
        <v>0</v>
      </c>
      <c r="I14" s="7" t="b">
        <v>0</v>
      </c>
      <c r="J14" s="7" t="b">
        <v>0</v>
      </c>
      <c r="K14" s="7" t="b">
        <v>1</v>
      </c>
      <c r="L14" s="3">
        <f>COUNTIF(Table1[[#This Row],[2nd &amp; Below]:[Senior Men]],TRUE)</f>
        <v>1</v>
      </c>
      <c r="M14" s="3">
        <f>IF(Table1[[#This Row],[Column1]]=1,120,180)</f>
        <v>120</v>
      </c>
    </row>
    <row r="15" spans="1:13" x14ac:dyDescent="0.25">
      <c r="A15" s="3" t="s">
        <v>174</v>
      </c>
      <c r="B15" s="3" t="s">
        <v>21</v>
      </c>
      <c r="C15" s="32" t="b">
        <v>0</v>
      </c>
      <c r="D15" s="3" t="s">
        <v>184</v>
      </c>
      <c r="E15" s="3">
        <v>7</v>
      </c>
      <c r="F15" s="3"/>
      <c r="G15" s="3"/>
      <c r="H15" s="7" t="b">
        <v>0</v>
      </c>
      <c r="I15" s="7" t="b">
        <v>1</v>
      </c>
      <c r="J15" s="7" t="b">
        <v>0</v>
      </c>
      <c r="K15" s="7" t="b">
        <v>0</v>
      </c>
      <c r="L15" s="3">
        <f>COUNTIF(Table1[[#This Row],[2nd &amp; Below]:[Senior Men]],TRUE)</f>
        <v>1</v>
      </c>
      <c r="M15" s="3">
        <f>IF(Table1[[#This Row],[Column1]]=1,120,180)</f>
        <v>120</v>
      </c>
    </row>
    <row r="16" spans="1:13" x14ac:dyDescent="0.25">
      <c r="A16" s="3" t="s">
        <v>175</v>
      </c>
      <c r="B16" s="3" t="s">
        <v>21</v>
      </c>
      <c r="C16" s="32" t="b">
        <v>0</v>
      </c>
      <c r="D16" s="3" t="s">
        <v>182</v>
      </c>
      <c r="E16" s="3">
        <v>8</v>
      </c>
      <c r="F16" s="3"/>
      <c r="G16" s="3"/>
      <c r="H16" s="7" t="b">
        <v>1</v>
      </c>
      <c r="I16" s="7" t="b">
        <v>0</v>
      </c>
      <c r="J16" s="7" t="b">
        <v>0</v>
      </c>
      <c r="K16" s="7" t="b">
        <v>0</v>
      </c>
      <c r="L16" s="3">
        <f>COUNTIF(Table1[[#This Row],[2nd &amp; Below]:[Senior Men]],TRUE)</f>
        <v>1</v>
      </c>
      <c r="M16" s="3">
        <f>IF(Table1[[#This Row],[Column1]]=1,120,180)</f>
        <v>120</v>
      </c>
    </row>
    <row r="17" spans="1:13" x14ac:dyDescent="0.25">
      <c r="A17" s="3" t="s">
        <v>22</v>
      </c>
      <c r="B17" s="3" t="s">
        <v>21</v>
      </c>
      <c r="C17" s="32" t="b">
        <v>1</v>
      </c>
      <c r="D17" s="3"/>
      <c r="E17" s="3"/>
      <c r="F17" s="3">
        <v>199</v>
      </c>
      <c r="G17" s="3"/>
      <c r="H17" s="7" t="b">
        <v>1</v>
      </c>
      <c r="I17" s="7" t="b">
        <v>0</v>
      </c>
      <c r="J17" s="7" t="b">
        <v>0</v>
      </c>
      <c r="K17" s="7" t="b">
        <v>1</v>
      </c>
      <c r="L17" s="3">
        <f>COUNTIF(Table1[[#This Row],[2nd &amp; Below]:[Senior Men]],TRUE)</f>
        <v>2</v>
      </c>
      <c r="M17" s="3">
        <f>IF(Table1[[#This Row],[Column1]]=1,120,180)</f>
        <v>180</v>
      </c>
    </row>
    <row r="18" spans="1:13" x14ac:dyDescent="0.25">
      <c r="A18" s="3" t="s">
        <v>23</v>
      </c>
      <c r="B18" s="3" t="s">
        <v>24</v>
      </c>
      <c r="C18" s="32" t="b">
        <v>1</v>
      </c>
      <c r="D18" s="3" t="s">
        <v>180</v>
      </c>
      <c r="E18" s="3">
        <v>15</v>
      </c>
      <c r="F18" s="3">
        <v>162</v>
      </c>
      <c r="G18" s="3"/>
      <c r="H18" s="7" t="b">
        <v>0</v>
      </c>
      <c r="I18" s="7" t="b">
        <v>0</v>
      </c>
      <c r="J18" s="7" t="b">
        <v>0</v>
      </c>
      <c r="K18" s="7" t="b">
        <v>1</v>
      </c>
      <c r="L18" s="3">
        <f>COUNTIF(Table1[[#This Row],[2nd &amp; Below]:[Senior Men]],TRUE)</f>
        <v>1</v>
      </c>
      <c r="M18" s="3">
        <f>IF(Table1[[#This Row],[Column1]]=1,120,180)</f>
        <v>120</v>
      </c>
    </row>
    <row r="19" spans="1:13" x14ac:dyDescent="0.25">
      <c r="A19" s="3" t="s">
        <v>25</v>
      </c>
      <c r="B19" s="3" t="s">
        <v>24</v>
      </c>
      <c r="C19" s="32" t="b">
        <v>1</v>
      </c>
      <c r="D19" s="3" t="s">
        <v>180</v>
      </c>
      <c r="E19" s="3">
        <v>13</v>
      </c>
      <c r="F19" s="3"/>
      <c r="G19" s="3"/>
      <c r="H19" s="7" t="b">
        <v>0</v>
      </c>
      <c r="I19" s="7" t="b">
        <v>0</v>
      </c>
      <c r="J19" s="7" t="b">
        <v>0</v>
      </c>
      <c r="K19" s="7" t="b">
        <v>1</v>
      </c>
      <c r="L19" s="3">
        <f>COUNTIF(Table1[[#This Row],[2nd &amp; Below]:[Senior Men]],TRUE)</f>
        <v>1</v>
      </c>
      <c r="M19" s="3">
        <f>IF(Table1[[#This Row],[Column1]]=1,120,180)</f>
        <v>120</v>
      </c>
    </row>
    <row r="20" spans="1:13" x14ac:dyDescent="0.25">
      <c r="A20" s="3" t="s">
        <v>26</v>
      </c>
      <c r="B20" s="3" t="s">
        <v>24</v>
      </c>
      <c r="C20" s="32" t="b">
        <v>1</v>
      </c>
      <c r="D20" s="3" t="s">
        <v>183</v>
      </c>
      <c r="E20" s="3">
        <v>7</v>
      </c>
      <c r="F20" s="3">
        <v>221</v>
      </c>
      <c r="G20" s="3"/>
      <c r="H20" s="7" t="b">
        <v>1</v>
      </c>
      <c r="I20" s="7" t="b">
        <v>0</v>
      </c>
      <c r="J20" s="7" t="b">
        <v>0</v>
      </c>
      <c r="K20" s="7" t="b">
        <v>1</v>
      </c>
      <c r="L20" s="3">
        <f>COUNTIF(Table1[[#This Row],[2nd &amp; Below]:[Senior Men]],TRUE)</f>
        <v>2</v>
      </c>
      <c r="M20" s="3">
        <f>IF(Table1[[#This Row],[Column1]]=1,120,180)</f>
        <v>180</v>
      </c>
    </row>
    <row r="21" spans="1:13" x14ac:dyDescent="0.25">
      <c r="A21" s="3" t="s">
        <v>27</v>
      </c>
      <c r="B21" s="3" t="s">
        <v>24</v>
      </c>
      <c r="C21" s="32" t="b">
        <v>1</v>
      </c>
      <c r="D21" s="3" t="s">
        <v>182</v>
      </c>
      <c r="E21" s="3">
        <v>6</v>
      </c>
      <c r="F21" s="3">
        <v>138</v>
      </c>
      <c r="G21" s="3"/>
      <c r="H21" s="7" t="b">
        <v>1</v>
      </c>
      <c r="I21" s="7" t="b">
        <v>0</v>
      </c>
      <c r="J21" s="7" t="b">
        <v>0</v>
      </c>
      <c r="K21" s="7" t="b">
        <v>1</v>
      </c>
      <c r="L21" s="3">
        <f>COUNTIF(Table1[[#This Row],[2nd &amp; Below]:[Senior Men]],TRUE)</f>
        <v>2</v>
      </c>
      <c r="M21" s="3">
        <f>IF(Table1[[#This Row],[Column1]]=1,120,180)</f>
        <v>180</v>
      </c>
    </row>
    <row r="22" spans="1:13" x14ac:dyDescent="0.25">
      <c r="A22" s="3" t="s">
        <v>28</v>
      </c>
      <c r="B22" s="3" t="s">
        <v>24</v>
      </c>
      <c r="C22" s="32" t="b">
        <v>1</v>
      </c>
      <c r="D22" s="3" t="s">
        <v>182</v>
      </c>
      <c r="E22" s="3">
        <v>2</v>
      </c>
      <c r="F22" s="3">
        <v>224</v>
      </c>
      <c r="G22" s="3"/>
      <c r="H22" s="7" t="b">
        <v>1</v>
      </c>
      <c r="I22" s="7" t="b">
        <v>0</v>
      </c>
      <c r="J22" s="7" t="b">
        <v>0</v>
      </c>
      <c r="K22" s="7" t="b">
        <v>1</v>
      </c>
      <c r="L22" s="3">
        <f>COUNTIF(Table1[[#This Row],[2nd &amp; Below]:[Senior Men]],TRUE)</f>
        <v>2</v>
      </c>
      <c r="M22" s="3">
        <f>IF(Table1[[#This Row],[Column1]]=1,120,180)</f>
        <v>180</v>
      </c>
    </row>
    <row r="23" spans="1:13" x14ac:dyDescent="0.25">
      <c r="A23" s="3" t="s">
        <v>29</v>
      </c>
      <c r="B23" s="3" t="s">
        <v>24</v>
      </c>
      <c r="C23" s="32" t="b">
        <v>1</v>
      </c>
      <c r="D23" s="3" t="s">
        <v>184</v>
      </c>
      <c r="E23" s="3">
        <v>3</v>
      </c>
      <c r="F23" s="3">
        <v>544</v>
      </c>
      <c r="G23" s="3"/>
      <c r="H23" s="7" t="b">
        <v>0</v>
      </c>
      <c r="I23" s="7" t="b">
        <v>1</v>
      </c>
      <c r="J23" s="7" t="b">
        <v>0</v>
      </c>
      <c r="K23" s="7" t="b">
        <v>1</v>
      </c>
      <c r="L23" s="3">
        <f>COUNTIF(Table1[[#This Row],[2nd &amp; Below]:[Senior Men]],TRUE)</f>
        <v>2</v>
      </c>
      <c r="M23" s="3">
        <f>IF(Table1[[#This Row],[Column1]]=1,120,180)</f>
        <v>180</v>
      </c>
    </row>
    <row r="24" spans="1:13" x14ac:dyDescent="0.25">
      <c r="A24" s="3" t="s">
        <v>30</v>
      </c>
      <c r="B24" s="3" t="s">
        <v>24</v>
      </c>
      <c r="C24" s="32" t="b">
        <v>1</v>
      </c>
      <c r="D24" s="3"/>
      <c r="E24" s="3"/>
      <c r="F24" s="3"/>
      <c r="G24" s="3"/>
      <c r="H24" s="7" t="b">
        <v>0</v>
      </c>
      <c r="I24" s="7" t="b">
        <v>1</v>
      </c>
      <c r="J24" s="7" t="b">
        <v>0</v>
      </c>
      <c r="K24" s="7" t="b">
        <v>0</v>
      </c>
      <c r="L24" s="3">
        <f>COUNTIF(Table1[[#This Row],[2nd &amp; Below]:[Senior Men]],TRUE)</f>
        <v>1</v>
      </c>
      <c r="M24" s="3">
        <f>IF(Table1[[#This Row],[Column1]]=1,120,180)</f>
        <v>120</v>
      </c>
    </row>
    <row r="25" spans="1:13" x14ac:dyDescent="0.25">
      <c r="A25" s="3" t="s">
        <v>31</v>
      </c>
      <c r="B25" s="3" t="s">
        <v>24</v>
      </c>
      <c r="C25" s="32" t="b">
        <v>1</v>
      </c>
      <c r="D25" s="3" t="s">
        <v>185</v>
      </c>
      <c r="E25" s="3">
        <v>19</v>
      </c>
      <c r="F25" s="3">
        <v>331</v>
      </c>
      <c r="G25" s="3"/>
      <c r="H25" s="7" t="b">
        <v>1</v>
      </c>
      <c r="I25" s="7" t="b">
        <v>0</v>
      </c>
      <c r="J25" s="7" t="b">
        <v>0</v>
      </c>
      <c r="K25" s="7" t="b">
        <v>1</v>
      </c>
      <c r="L25" s="3">
        <f>COUNTIF(Table1[[#This Row],[2nd &amp; Below]:[Senior Men]],TRUE)</f>
        <v>2</v>
      </c>
      <c r="M25" s="3">
        <f>IF(Table1[[#This Row],[Column1]]=1,120,180)</f>
        <v>180</v>
      </c>
    </row>
    <row r="26" spans="1:13" x14ac:dyDescent="0.25">
      <c r="A26" s="3" t="s">
        <v>32</v>
      </c>
      <c r="B26" s="3" t="s">
        <v>24</v>
      </c>
      <c r="C26" s="32" t="b">
        <v>1</v>
      </c>
      <c r="D26" s="3"/>
      <c r="E26" s="3"/>
      <c r="F26" s="3"/>
      <c r="G26" s="3"/>
      <c r="H26" s="7" t="b">
        <v>0</v>
      </c>
      <c r="I26" s="7" t="b">
        <v>1</v>
      </c>
      <c r="J26" s="7" t="b">
        <v>0</v>
      </c>
      <c r="K26" s="7" t="b">
        <v>0</v>
      </c>
      <c r="L26" s="3">
        <f>COUNTIF(Table1[[#This Row],[2nd &amp; Below]:[Senior Men]],TRUE)</f>
        <v>1</v>
      </c>
      <c r="M26" s="3">
        <f>IF(Table1[[#This Row],[Column1]]=1,120,180)</f>
        <v>120</v>
      </c>
    </row>
    <row r="27" spans="1:13" x14ac:dyDescent="0.25">
      <c r="A27" s="3" t="s">
        <v>33</v>
      </c>
      <c r="B27" s="3" t="s">
        <v>24</v>
      </c>
      <c r="C27" s="32" t="b">
        <v>1</v>
      </c>
      <c r="D27" s="3" t="s">
        <v>184</v>
      </c>
      <c r="E27" s="3">
        <v>38</v>
      </c>
      <c r="F27" s="3"/>
      <c r="G27" s="3"/>
      <c r="H27" s="7" t="b">
        <v>0</v>
      </c>
      <c r="I27" s="7" t="b">
        <v>1</v>
      </c>
      <c r="J27" s="7" t="b">
        <v>0</v>
      </c>
      <c r="K27" s="7" t="b">
        <v>0</v>
      </c>
      <c r="L27" s="3">
        <f>COUNTIF(Table1[[#This Row],[2nd &amp; Below]:[Senior Men]],TRUE)</f>
        <v>1</v>
      </c>
      <c r="M27" s="3">
        <f>IF(Table1[[#This Row],[Column1]]=1,120,180)</f>
        <v>120</v>
      </c>
    </row>
    <row r="28" spans="1:13" x14ac:dyDescent="0.25">
      <c r="A28" s="3" t="s">
        <v>34</v>
      </c>
      <c r="B28" s="3" t="s">
        <v>24</v>
      </c>
      <c r="C28" s="32" t="b">
        <v>1</v>
      </c>
      <c r="D28" s="3" t="s">
        <v>183</v>
      </c>
      <c r="E28" s="3">
        <v>4</v>
      </c>
      <c r="F28" s="3">
        <v>146</v>
      </c>
      <c r="G28" s="3"/>
      <c r="H28" s="7" t="b">
        <v>1</v>
      </c>
      <c r="I28" s="7" t="b">
        <v>0</v>
      </c>
      <c r="J28" s="7" t="b">
        <v>0</v>
      </c>
      <c r="K28" s="7" t="b">
        <v>1</v>
      </c>
      <c r="L28" s="3">
        <f>COUNTIF(Table1[[#This Row],[2nd &amp; Below]:[Senior Men]],TRUE)</f>
        <v>2</v>
      </c>
      <c r="M28" s="3">
        <f>IF(Table1[[#This Row],[Column1]]=1,120,180)</f>
        <v>180</v>
      </c>
    </row>
    <row r="29" spans="1:13" x14ac:dyDescent="0.25">
      <c r="A29" s="3" t="s">
        <v>35</v>
      </c>
      <c r="B29" s="3" t="s">
        <v>36</v>
      </c>
      <c r="C29" s="32" t="b">
        <v>0</v>
      </c>
      <c r="D29" s="3" t="s">
        <v>180</v>
      </c>
      <c r="E29" s="3">
        <v>8</v>
      </c>
      <c r="F29" s="3">
        <v>12</v>
      </c>
      <c r="G29" s="3"/>
      <c r="H29" s="7" t="b">
        <v>0</v>
      </c>
      <c r="I29" s="7" t="b">
        <v>0</v>
      </c>
      <c r="J29" s="7" t="b">
        <v>0</v>
      </c>
      <c r="K29" s="7" t="b">
        <v>1</v>
      </c>
      <c r="L29" s="3">
        <f>COUNTIF(Table1[[#This Row],[2nd &amp; Below]:[Senior Men]],TRUE)</f>
        <v>1</v>
      </c>
      <c r="M29" s="3">
        <f>IF(Table1[[#This Row],[Column1]]=1,120,180)</f>
        <v>120</v>
      </c>
    </row>
    <row r="30" spans="1:13" x14ac:dyDescent="0.25">
      <c r="A30" s="3" t="s">
        <v>37</v>
      </c>
      <c r="B30" s="3" t="s">
        <v>36</v>
      </c>
      <c r="C30" s="32" t="b">
        <v>0</v>
      </c>
      <c r="D30" s="3" t="s">
        <v>186</v>
      </c>
      <c r="E30" s="3">
        <v>37</v>
      </c>
      <c r="F30" s="3">
        <v>141</v>
      </c>
      <c r="G30" s="3"/>
      <c r="H30" s="7" t="b">
        <v>1</v>
      </c>
      <c r="I30" s="7" t="b">
        <v>0</v>
      </c>
      <c r="J30" s="7" t="b">
        <v>0</v>
      </c>
      <c r="K30" s="7" t="b">
        <v>0</v>
      </c>
      <c r="L30" s="3">
        <f>COUNTIF(Table1[[#This Row],[2nd &amp; Below]:[Senior Men]],TRUE)</f>
        <v>1</v>
      </c>
      <c r="M30" s="3">
        <f>IF(Table1[[#This Row],[Column1]]=1,120,180)</f>
        <v>120</v>
      </c>
    </row>
    <row r="31" spans="1:13" x14ac:dyDescent="0.25">
      <c r="A31" s="3" t="s">
        <v>38</v>
      </c>
      <c r="B31" s="3" t="s">
        <v>36</v>
      </c>
      <c r="C31" s="32" t="b">
        <v>0</v>
      </c>
      <c r="D31" s="3" t="s">
        <v>184</v>
      </c>
      <c r="E31" s="3">
        <v>34</v>
      </c>
      <c r="F31" s="3"/>
      <c r="G31" s="3"/>
      <c r="H31" s="7" t="b">
        <v>1</v>
      </c>
      <c r="I31" s="7" t="b">
        <v>1</v>
      </c>
      <c r="J31" s="7" t="b">
        <v>0</v>
      </c>
      <c r="K31" s="7" t="b">
        <v>0</v>
      </c>
      <c r="L31" s="3">
        <f>COUNTIF(Table1[[#This Row],[2nd &amp; Below]:[Senior Men]],TRUE)</f>
        <v>2</v>
      </c>
      <c r="M31" s="3">
        <f>IF(Table1[[#This Row],[Column1]]=1,120,180)</f>
        <v>180</v>
      </c>
    </row>
    <row r="32" spans="1:13" x14ac:dyDescent="0.25">
      <c r="A32" s="3" t="s">
        <v>39</v>
      </c>
      <c r="B32" s="3" t="s">
        <v>36</v>
      </c>
      <c r="C32" s="32" t="b">
        <v>0</v>
      </c>
      <c r="D32" s="3"/>
      <c r="E32" s="3"/>
      <c r="F32" s="3"/>
      <c r="G32" s="3"/>
      <c r="H32" s="7" t="b">
        <v>1</v>
      </c>
      <c r="I32" s="7" t="b">
        <v>1</v>
      </c>
      <c r="J32" s="7" t="b">
        <v>0</v>
      </c>
      <c r="K32" s="7" t="b">
        <v>0</v>
      </c>
      <c r="L32" s="3">
        <f>COUNTIF(Table1[[#This Row],[2nd &amp; Below]:[Senior Men]],TRUE)</f>
        <v>2</v>
      </c>
      <c r="M32" s="3">
        <f>IF(Table1[[#This Row],[Column1]]=1,120,180)</f>
        <v>180</v>
      </c>
    </row>
    <row r="33" spans="1:13" x14ac:dyDescent="0.25">
      <c r="A33" s="3" t="s">
        <v>40</v>
      </c>
      <c r="B33" s="3" t="s">
        <v>36</v>
      </c>
      <c r="C33" s="32" t="b">
        <v>0</v>
      </c>
      <c r="D33" s="3" t="s">
        <v>185</v>
      </c>
      <c r="E33" s="3">
        <v>8</v>
      </c>
      <c r="F33" s="3">
        <v>179</v>
      </c>
      <c r="G33" s="3"/>
      <c r="H33" s="7" t="b">
        <v>1</v>
      </c>
      <c r="I33" s="7" t="b">
        <v>1</v>
      </c>
      <c r="J33" s="7" t="b">
        <v>0</v>
      </c>
      <c r="K33" s="7" t="b">
        <v>0</v>
      </c>
      <c r="L33" s="3">
        <f>COUNTIF(Table1[[#This Row],[2nd &amp; Below]:[Senior Men]],TRUE)</f>
        <v>2</v>
      </c>
      <c r="M33" s="3">
        <f>IF(Table1[[#This Row],[Column1]]=1,120,180)</f>
        <v>180</v>
      </c>
    </row>
    <row r="34" spans="1:13" x14ac:dyDescent="0.25">
      <c r="A34" s="3" t="s">
        <v>41</v>
      </c>
      <c r="B34" s="3" t="s">
        <v>36</v>
      </c>
      <c r="C34" s="32" t="b">
        <v>0</v>
      </c>
      <c r="D34" s="3" t="s">
        <v>182</v>
      </c>
      <c r="E34" s="3">
        <v>25</v>
      </c>
      <c r="F34" s="3"/>
      <c r="G34" s="3"/>
      <c r="H34" s="7" t="b">
        <v>1</v>
      </c>
      <c r="I34" s="7" t="b">
        <v>1</v>
      </c>
      <c r="J34" s="7" t="b">
        <v>0</v>
      </c>
      <c r="K34" s="7" t="b">
        <v>0</v>
      </c>
      <c r="L34" s="3">
        <f>COUNTIF(Table1[[#This Row],[2nd &amp; Below]:[Senior Men]],TRUE)</f>
        <v>2</v>
      </c>
      <c r="M34" s="3">
        <f>IF(Table1[[#This Row],[Column1]]=1,120,180)</f>
        <v>180</v>
      </c>
    </row>
    <row r="35" spans="1:13" x14ac:dyDescent="0.25">
      <c r="A35" s="3" t="s">
        <v>42</v>
      </c>
      <c r="B35" s="3" t="s">
        <v>36</v>
      </c>
      <c r="C35" s="32" t="b">
        <v>1</v>
      </c>
      <c r="D35" s="3" t="s">
        <v>182</v>
      </c>
      <c r="E35" s="3">
        <v>22</v>
      </c>
      <c r="F35" s="3">
        <v>46</v>
      </c>
      <c r="G35" s="3"/>
      <c r="H35" s="7" t="b">
        <v>1</v>
      </c>
      <c r="I35" s="7" t="b">
        <v>0</v>
      </c>
      <c r="J35" s="7" t="b">
        <v>1</v>
      </c>
      <c r="K35" s="7" t="b">
        <v>0</v>
      </c>
      <c r="L35" s="3">
        <f>COUNTIF(Table1[[#This Row],[2nd &amp; Below]:[Senior Men]],TRUE)</f>
        <v>2</v>
      </c>
      <c r="M35" s="3">
        <f>IF(Table1[[#This Row],[Column1]]=1,120,180)</f>
        <v>180</v>
      </c>
    </row>
    <row r="36" spans="1:13" x14ac:dyDescent="0.25">
      <c r="A36" s="3" t="s">
        <v>43</v>
      </c>
      <c r="B36" s="3" t="s">
        <v>36</v>
      </c>
      <c r="C36" s="32" t="b">
        <v>0</v>
      </c>
      <c r="D36" s="3" t="s">
        <v>185</v>
      </c>
      <c r="E36" s="3">
        <v>30</v>
      </c>
      <c r="F36" s="3"/>
      <c r="G36" s="3"/>
      <c r="H36" s="7" t="b">
        <v>1</v>
      </c>
      <c r="I36" s="7" t="b">
        <v>0</v>
      </c>
      <c r="J36" s="7" t="b">
        <v>0</v>
      </c>
      <c r="K36" s="7" t="b">
        <v>0</v>
      </c>
      <c r="L36" s="3">
        <f>COUNTIF(Table1[[#This Row],[2nd &amp; Below]:[Senior Men]],TRUE)</f>
        <v>1</v>
      </c>
      <c r="M36" s="3">
        <f>IF(Table1[[#This Row],[Column1]]=1,120,180)</f>
        <v>120</v>
      </c>
    </row>
    <row r="37" spans="1:13" x14ac:dyDescent="0.25">
      <c r="A37" s="3" t="s">
        <v>44</v>
      </c>
      <c r="B37" s="3" t="s">
        <v>36</v>
      </c>
      <c r="C37" s="32" t="b">
        <v>0</v>
      </c>
      <c r="D37" s="3" t="s">
        <v>185</v>
      </c>
      <c r="E37" s="3">
        <v>5</v>
      </c>
      <c r="F37" s="3"/>
      <c r="G37" s="3"/>
      <c r="H37" s="7" t="b">
        <v>1</v>
      </c>
      <c r="I37" s="7" t="b">
        <v>0</v>
      </c>
      <c r="J37" s="7" t="b">
        <v>0</v>
      </c>
      <c r="K37" s="7" t="b">
        <v>1</v>
      </c>
      <c r="L37" s="3">
        <f>COUNTIF(Table1[[#This Row],[2nd &amp; Below]:[Senior Men]],TRUE)</f>
        <v>2</v>
      </c>
      <c r="M37" s="3">
        <f>IF(Table1[[#This Row],[Column1]]=1,120,180)</f>
        <v>180</v>
      </c>
    </row>
    <row r="38" spans="1:13" x14ac:dyDescent="0.25">
      <c r="A38" s="3" t="s">
        <v>45</v>
      </c>
      <c r="B38" s="3" t="s">
        <v>52</v>
      </c>
      <c r="C38" s="32" t="b">
        <v>1</v>
      </c>
      <c r="D38" s="3" t="s">
        <v>181</v>
      </c>
      <c r="E38" s="3">
        <v>5</v>
      </c>
      <c r="F38" s="3">
        <v>71</v>
      </c>
      <c r="G38" s="3"/>
      <c r="H38" s="7" t="b">
        <v>0</v>
      </c>
      <c r="I38" s="7" t="b">
        <v>0</v>
      </c>
      <c r="J38" s="7" t="b">
        <v>0</v>
      </c>
      <c r="K38" s="7" t="b">
        <v>1</v>
      </c>
      <c r="L38" s="3">
        <f>COUNTIF(Table1[[#This Row],[2nd &amp; Below]:[Senior Men]],TRUE)</f>
        <v>1</v>
      </c>
      <c r="M38" s="3">
        <f>IF(Table1[[#This Row],[Column1]]=1,120,180)</f>
        <v>120</v>
      </c>
    </row>
    <row r="39" spans="1:13" x14ac:dyDescent="0.25">
      <c r="A39" s="3" t="s">
        <v>46</v>
      </c>
      <c r="B39" s="3" t="s">
        <v>52</v>
      </c>
      <c r="C39" s="32" t="b">
        <v>1</v>
      </c>
      <c r="D39" s="3" t="s">
        <v>181</v>
      </c>
      <c r="E39" s="3">
        <v>10</v>
      </c>
      <c r="F39" s="3">
        <v>36</v>
      </c>
      <c r="G39" s="3"/>
      <c r="H39" s="7" t="b">
        <v>0</v>
      </c>
      <c r="I39" s="7" t="b">
        <v>0</v>
      </c>
      <c r="J39" s="7" t="b">
        <v>0</v>
      </c>
      <c r="K39" s="7" t="b">
        <v>1</v>
      </c>
      <c r="L39" s="3">
        <f>COUNTIF(Table1[[#This Row],[2nd &amp; Below]:[Senior Men]],TRUE)</f>
        <v>1</v>
      </c>
      <c r="M39" s="3">
        <f>IF(Table1[[#This Row],[Column1]]=1,120,180)</f>
        <v>120</v>
      </c>
    </row>
    <row r="40" spans="1:13" x14ac:dyDescent="0.25">
      <c r="A40" s="3" t="s">
        <v>47</v>
      </c>
      <c r="B40" s="3" t="s">
        <v>52</v>
      </c>
      <c r="C40" s="32" t="b">
        <v>1</v>
      </c>
      <c r="D40" s="3" t="s">
        <v>184</v>
      </c>
      <c r="E40" s="3">
        <v>24</v>
      </c>
      <c r="F40" s="3"/>
      <c r="G40" s="3"/>
      <c r="H40" s="7" t="b">
        <v>1</v>
      </c>
      <c r="I40" s="7" t="b">
        <v>1</v>
      </c>
      <c r="J40" s="7" t="b">
        <v>0</v>
      </c>
      <c r="K40" s="7" t="b">
        <v>0</v>
      </c>
      <c r="L40" s="3">
        <f>COUNTIF(Table1[[#This Row],[2nd &amp; Below]:[Senior Men]],TRUE)</f>
        <v>2</v>
      </c>
      <c r="M40" s="3">
        <f>IF(Table1[[#This Row],[Column1]]=1,120,180)</f>
        <v>180</v>
      </c>
    </row>
    <row r="41" spans="1:13" x14ac:dyDescent="0.25">
      <c r="A41" s="3" t="s">
        <v>48</v>
      </c>
      <c r="B41" s="3" t="s">
        <v>52</v>
      </c>
      <c r="C41" s="32" t="b">
        <v>1</v>
      </c>
      <c r="D41" s="3" t="s">
        <v>186</v>
      </c>
      <c r="E41" s="3">
        <v>15</v>
      </c>
      <c r="F41" s="3">
        <v>766</v>
      </c>
      <c r="G41" s="3"/>
      <c r="H41" s="7" t="b">
        <v>1</v>
      </c>
      <c r="I41" s="7" t="b">
        <v>1</v>
      </c>
      <c r="J41" s="7" t="b">
        <v>0</v>
      </c>
      <c r="K41" s="7" t="b">
        <v>0</v>
      </c>
      <c r="L41" s="3">
        <f>COUNTIF(Table1[[#This Row],[2nd &amp; Below]:[Senior Men]],TRUE)</f>
        <v>2</v>
      </c>
      <c r="M41" s="3">
        <f>IF(Table1[[#This Row],[Column1]]=1,120,180)</f>
        <v>180</v>
      </c>
    </row>
    <row r="42" spans="1:13" x14ac:dyDescent="0.25">
      <c r="A42" s="3" t="s">
        <v>49</v>
      </c>
      <c r="B42" s="3" t="s">
        <v>52</v>
      </c>
      <c r="C42" s="32" t="b">
        <v>1</v>
      </c>
      <c r="D42" s="3" t="s">
        <v>185</v>
      </c>
      <c r="E42" s="3">
        <v>21</v>
      </c>
      <c r="F42" s="3">
        <v>749</v>
      </c>
      <c r="G42" s="3"/>
      <c r="H42" s="7" t="b">
        <v>1</v>
      </c>
      <c r="I42" s="7" t="b">
        <v>0</v>
      </c>
      <c r="J42" s="7" t="b">
        <v>0</v>
      </c>
      <c r="K42" s="7" t="b">
        <v>0</v>
      </c>
      <c r="L42" s="3">
        <f>COUNTIF(Table1[[#This Row],[2nd &amp; Below]:[Senior Men]],TRUE)</f>
        <v>1</v>
      </c>
      <c r="M42" s="3">
        <f>IF(Table1[[#This Row],[Column1]]=1,120,180)</f>
        <v>120</v>
      </c>
    </row>
    <row r="43" spans="1:13" x14ac:dyDescent="0.25">
      <c r="A43" s="3" t="s">
        <v>50</v>
      </c>
      <c r="B43" s="3" t="s">
        <v>52</v>
      </c>
      <c r="C43" s="32" t="b">
        <v>1</v>
      </c>
      <c r="D43" s="3" t="s">
        <v>182</v>
      </c>
      <c r="E43" s="3">
        <v>26</v>
      </c>
      <c r="F43" s="3">
        <v>744</v>
      </c>
      <c r="G43" s="3"/>
      <c r="H43" s="7" t="b">
        <v>1</v>
      </c>
      <c r="I43" s="7" t="b">
        <v>0</v>
      </c>
      <c r="J43" s="7" t="b">
        <v>0</v>
      </c>
      <c r="K43" s="7" t="b">
        <v>0</v>
      </c>
      <c r="L43" s="3">
        <f>COUNTIF(Table1[[#This Row],[2nd &amp; Below]:[Senior Men]],TRUE)</f>
        <v>1</v>
      </c>
      <c r="M43" s="3">
        <f>IF(Table1[[#This Row],[Column1]]=1,120,180)</f>
        <v>120</v>
      </c>
    </row>
    <row r="44" spans="1:13" x14ac:dyDescent="0.25">
      <c r="A44" s="3" t="s">
        <v>51</v>
      </c>
      <c r="B44" s="3" t="s">
        <v>52</v>
      </c>
      <c r="C44" s="32" t="b">
        <v>1</v>
      </c>
      <c r="D44" s="3" t="s">
        <v>182</v>
      </c>
      <c r="E44" s="3">
        <v>19</v>
      </c>
      <c r="F44" s="3">
        <v>321</v>
      </c>
      <c r="G44" s="3"/>
      <c r="H44" s="7" t="b">
        <v>1</v>
      </c>
      <c r="I44" s="7" t="b">
        <v>1</v>
      </c>
      <c r="J44" s="7" t="b">
        <v>0</v>
      </c>
      <c r="K44" s="7" t="b">
        <v>0</v>
      </c>
      <c r="L44" s="3">
        <f>COUNTIF(Table1[[#This Row],[2nd &amp; Below]:[Senior Men]],TRUE)</f>
        <v>2</v>
      </c>
      <c r="M44" s="3">
        <f>IF(Table1[[#This Row],[Column1]]=1,120,180)</f>
        <v>180</v>
      </c>
    </row>
    <row r="45" spans="1:13" x14ac:dyDescent="0.25">
      <c r="A45" s="3" t="s">
        <v>90</v>
      </c>
      <c r="B45" s="3" t="s">
        <v>52</v>
      </c>
      <c r="C45" s="32" t="b">
        <v>1</v>
      </c>
      <c r="D45" s="3" t="s">
        <v>186</v>
      </c>
      <c r="E45" s="3">
        <v>10</v>
      </c>
      <c r="F45" s="3">
        <v>388</v>
      </c>
      <c r="G45" s="3"/>
      <c r="H45" s="7" t="b">
        <v>0</v>
      </c>
      <c r="I45" s="7" t="b">
        <v>1</v>
      </c>
      <c r="J45" s="7" t="b">
        <v>0</v>
      </c>
      <c r="K45" s="7" t="b">
        <v>0</v>
      </c>
      <c r="L45" s="3">
        <f>COUNTIF(Table1[[#This Row],[2nd &amp; Below]:[Senior Men]],TRUE)</f>
        <v>1</v>
      </c>
      <c r="M45" s="3">
        <f>IF(Table1[[#This Row],[Column1]]=1,120,180)</f>
        <v>120</v>
      </c>
    </row>
    <row r="46" spans="1:13" x14ac:dyDescent="0.25">
      <c r="A46" s="3" t="s">
        <v>53</v>
      </c>
      <c r="B46" s="3" t="s">
        <v>54</v>
      </c>
      <c r="C46" s="32" t="b">
        <v>1</v>
      </c>
      <c r="D46" s="3" t="s">
        <v>186</v>
      </c>
      <c r="E46" s="3">
        <v>1</v>
      </c>
      <c r="F46" s="3">
        <v>427</v>
      </c>
      <c r="G46" s="3"/>
      <c r="H46" s="7" t="b">
        <v>0</v>
      </c>
      <c r="I46" s="7" t="b">
        <v>1</v>
      </c>
      <c r="J46" s="7" t="b">
        <v>0</v>
      </c>
      <c r="K46" s="7" t="b">
        <v>1</v>
      </c>
      <c r="L46" s="3">
        <f>COUNTIF(Table1[[#This Row],[2nd &amp; Below]:[Senior Men]],TRUE)</f>
        <v>2</v>
      </c>
      <c r="M46" s="3">
        <f>IF(Table1[[#This Row],[Column1]]=1,120,180)</f>
        <v>180</v>
      </c>
    </row>
    <row r="47" spans="1:13" x14ac:dyDescent="0.25">
      <c r="A47" s="3" t="s">
        <v>55</v>
      </c>
      <c r="B47" s="3" t="s">
        <v>54</v>
      </c>
      <c r="C47" s="32" t="b">
        <v>1</v>
      </c>
      <c r="D47" s="3" t="s">
        <v>186</v>
      </c>
      <c r="E47" s="3">
        <v>18</v>
      </c>
      <c r="F47" s="3"/>
      <c r="G47" s="3"/>
      <c r="H47" s="7" t="b">
        <v>0</v>
      </c>
      <c r="I47" s="7" t="b">
        <v>1</v>
      </c>
      <c r="J47" s="7" t="b">
        <v>0</v>
      </c>
      <c r="K47" s="7" t="b">
        <v>1</v>
      </c>
      <c r="L47" s="3">
        <f>COUNTIF(Table1[[#This Row],[2nd &amp; Below]:[Senior Men]],TRUE)</f>
        <v>2</v>
      </c>
      <c r="M47" s="3">
        <f>IF(Table1[[#This Row],[Column1]]=1,120,180)</f>
        <v>180</v>
      </c>
    </row>
    <row r="48" spans="1:13" x14ac:dyDescent="0.25">
      <c r="A48" s="3" t="s">
        <v>56</v>
      </c>
      <c r="B48" s="3" t="s">
        <v>54</v>
      </c>
      <c r="C48" s="32" t="b">
        <v>1</v>
      </c>
      <c r="D48" s="3" t="s">
        <v>186</v>
      </c>
      <c r="E48" s="3">
        <v>38</v>
      </c>
      <c r="F48" s="3"/>
      <c r="G48" s="3"/>
      <c r="H48" s="7" t="b">
        <v>0</v>
      </c>
      <c r="I48" s="7" t="b">
        <v>1</v>
      </c>
      <c r="J48" s="7" t="b">
        <v>0</v>
      </c>
      <c r="K48" s="7" t="b">
        <v>1</v>
      </c>
      <c r="L48" s="3">
        <f>COUNTIF(Table1[[#This Row],[2nd &amp; Below]:[Senior Men]],TRUE)</f>
        <v>2</v>
      </c>
      <c r="M48" s="3">
        <f>IF(Table1[[#This Row],[Column1]]=1,120,180)</f>
        <v>180</v>
      </c>
    </row>
    <row r="49" spans="1:13" x14ac:dyDescent="0.25">
      <c r="A49" s="3" t="s">
        <v>57</v>
      </c>
      <c r="B49" s="3" t="s">
        <v>54</v>
      </c>
      <c r="C49" s="32" t="b">
        <v>1</v>
      </c>
      <c r="D49" s="3" t="s">
        <v>186</v>
      </c>
      <c r="E49" s="3">
        <v>35</v>
      </c>
      <c r="F49" s="3"/>
      <c r="G49" s="3"/>
      <c r="H49" s="7" t="b">
        <v>0</v>
      </c>
      <c r="I49" s="7" t="b">
        <v>1</v>
      </c>
      <c r="J49" s="7" t="b">
        <v>0</v>
      </c>
      <c r="K49" s="7" t="b">
        <v>1</v>
      </c>
      <c r="L49" s="3">
        <f>COUNTIF(Table1[[#This Row],[2nd &amp; Below]:[Senior Men]],TRUE)</f>
        <v>2</v>
      </c>
      <c r="M49" s="3">
        <f>IF(Table1[[#This Row],[Column1]]=1,120,180)</f>
        <v>180</v>
      </c>
    </row>
    <row r="50" spans="1:13" x14ac:dyDescent="0.25">
      <c r="A50" s="3" t="s">
        <v>58</v>
      </c>
      <c r="B50" s="3" t="s">
        <v>54</v>
      </c>
      <c r="C50" s="32" t="b">
        <v>1</v>
      </c>
      <c r="D50" s="3" t="s">
        <v>186</v>
      </c>
      <c r="E50" s="3">
        <v>19</v>
      </c>
      <c r="F50" s="3"/>
      <c r="G50" s="3"/>
      <c r="H50" s="7" t="b">
        <v>0</v>
      </c>
      <c r="I50" s="7" t="b">
        <v>1</v>
      </c>
      <c r="J50" s="7" t="b">
        <v>1</v>
      </c>
      <c r="K50" s="7" t="b">
        <v>0</v>
      </c>
      <c r="L50" s="3">
        <f>COUNTIF(Table1[[#This Row],[2nd &amp; Below]:[Senior Men]],TRUE)</f>
        <v>2</v>
      </c>
      <c r="M50" s="3">
        <f>IF(Table1[[#This Row],[Column1]]=1,120,180)</f>
        <v>180</v>
      </c>
    </row>
    <row r="51" spans="1:13" x14ac:dyDescent="0.25">
      <c r="A51" s="3" t="s">
        <v>59</v>
      </c>
      <c r="B51" s="3" t="s">
        <v>54</v>
      </c>
      <c r="C51" s="32" t="b">
        <v>1</v>
      </c>
      <c r="D51" s="3"/>
      <c r="E51" s="3"/>
      <c r="F51" s="3"/>
      <c r="G51" s="3"/>
      <c r="H51" s="7" t="b">
        <v>0</v>
      </c>
      <c r="I51" s="7" t="b">
        <v>1</v>
      </c>
      <c r="J51" s="7" t="b">
        <v>0</v>
      </c>
      <c r="K51" s="7" t="b">
        <v>1</v>
      </c>
      <c r="L51" s="3">
        <f>COUNTIF(Table1[[#This Row],[2nd &amp; Below]:[Senior Men]],TRUE)</f>
        <v>2</v>
      </c>
      <c r="M51" s="3">
        <f>IF(Table1[[#This Row],[Column1]]=1,120,180)</f>
        <v>180</v>
      </c>
    </row>
    <row r="52" spans="1:13" x14ac:dyDescent="0.25">
      <c r="A52" s="3" t="s">
        <v>60</v>
      </c>
      <c r="B52" s="3" t="s">
        <v>61</v>
      </c>
      <c r="C52" s="32" t="b">
        <v>0</v>
      </c>
      <c r="D52" s="3" t="s">
        <v>183</v>
      </c>
      <c r="E52" s="3">
        <v>1</v>
      </c>
      <c r="F52" s="3">
        <v>1</v>
      </c>
      <c r="G52" s="3"/>
      <c r="H52" s="7" t="b">
        <v>1</v>
      </c>
      <c r="I52" s="7" t="b">
        <v>0</v>
      </c>
      <c r="J52" s="7" t="b">
        <v>1</v>
      </c>
      <c r="K52" s="7" t="b">
        <v>0</v>
      </c>
      <c r="L52" s="3">
        <f>COUNTIF(Table1[[#This Row],[2nd &amp; Below]:[Senior Men]],TRUE)</f>
        <v>2</v>
      </c>
      <c r="M52" s="3">
        <f>IF(Table1[[#This Row],[Column1]]=1,120,180)</f>
        <v>180</v>
      </c>
    </row>
    <row r="53" spans="1:13" x14ac:dyDescent="0.25">
      <c r="A53" s="3" t="s">
        <v>62</v>
      </c>
      <c r="B53" s="3" t="s">
        <v>63</v>
      </c>
      <c r="C53" s="32" t="b">
        <v>0</v>
      </c>
      <c r="D53" s="3" t="s">
        <v>183</v>
      </c>
      <c r="E53" s="3">
        <v>5</v>
      </c>
      <c r="F53" s="3">
        <v>1</v>
      </c>
      <c r="G53" s="3"/>
      <c r="H53" s="7" t="b">
        <v>1</v>
      </c>
      <c r="I53" s="7" t="b">
        <v>0</v>
      </c>
      <c r="J53" s="7" t="b">
        <v>1</v>
      </c>
      <c r="K53" s="7" t="b">
        <v>0</v>
      </c>
      <c r="L53" s="3">
        <f>COUNTIF(Table1[[#This Row],[2nd &amp; Below]:[Senior Men]],TRUE)</f>
        <v>2</v>
      </c>
      <c r="M53" s="3">
        <f>IF(Table1[[#This Row],[Column1]]=1,120,180)</f>
        <v>180</v>
      </c>
    </row>
    <row r="54" spans="1:13" x14ac:dyDescent="0.25">
      <c r="A54" s="3" t="s">
        <v>64</v>
      </c>
      <c r="B54" s="3" t="s">
        <v>63</v>
      </c>
      <c r="C54" s="32" t="b">
        <v>0</v>
      </c>
      <c r="D54" s="3" t="s">
        <v>186</v>
      </c>
      <c r="E54" s="3">
        <v>29</v>
      </c>
      <c r="F54" s="3"/>
      <c r="G54" s="3"/>
      <c r="H54" s="7" t="b">
        <v>1</v>
      </c>
      <c r="I54" s="7" t="b">
        <v>0</v>
      </c>
      <c r="J54" s="7" t="b">
        <v>0</v>
      </c>
      <c r="K54" s="7" t="b">
        <v>0</v>
      </c>
      <c r="L54" s="3">
        <f>COUNTIF(Table1[[#This Row],[2nd &amp; Below]:[Senior Men]],TRUE)</f>
        <v>1</v>
      </c>
      <c r="M54" s="3">
        <f>IF(Table1[[#This Row],[Column1]]=1,120,180)</f>
        <v>120</v>
      </c>
    </row>
    <row r="55" spans="1:13" x14ac:dyDescent="0.25">
      <c r="A55" s="3" t="s">
        <v>65</v>
      </c>
      <c r="B55" s="3" t="s">
        <v>66</v>
      </c>
      <c r="C55" s="32" t="b">
        <v>0</v>
      </c>
      <c r="D55" s="3" t="s">
        <v>181</v>
      </c>
      <c r="E55" s="3">
        <v>8</v>
      </c>
      <c r="F55" s="3">
        <v>38</v>
      </c>
      <c r="G55" s="3"/>
      <c r="H55" s="7" t="b">
        <v>0</v>
      </c>
      <c r="I55" s="7" t="b">
        <v>0</v>
      </c>
      <c r="J55" s="7" t="b">
        <v>0</v>
      </c>
      <c r="K55" s="7" t="b">
        <v>1</v>
      </c>
      <c r="L55" s="3">
        <f>COUNTIF(Table1[[#This Row],[2nd &amp; Below]:[Senior Men]],TRUE)</f>
        <v>1</v>
      </c>
      <c r="M55" s="3">
        <f>IF(Table1[[#This Row],[Column1]]=1,120,180)</f>
        <v>120</v>
      </c>
    </row>
    <row r="56" spans="1:13" x14ac:dyDescent="0.25">
      <c r="A56" s="3" t="s">
        <v>67</v>
      </c>
      <c r="B56" s="3"/>
      <c r="C56" s="32" t="b">
        <v>0</v>
      </c>
      <c r="D56" s="3"/>
      <c r="E56" s="3"/>
      <c r="F56" s="3"/>
      <c r="G56" s="3"/>
      <c r="H56" s="7" t="b">
        <v>1</v>
      </c>
      <c r="I56" s="7" t="b">
        <v>0</v>
      </c>
      <c r="J56" s="7" t="b">
        <v>0</v>
      </c>
      <c r="K56" s="7" t="b">
        <v>0</v>
      </c>
      <c r="L56" s="3">
        <f>COUNTIF(Table1[[#This Row],[2nd &amp; Below]:[Senior Men]],TRUE)</f>
        <v>1</v>
      </c>
      <c r="M56" s="3">
        <f>IF(Table1[[#This Row],[Column1]]=1,120,180)</f>
        <v>120</v>
      </c>
    </row>
    <row r="57" spans="1:13" x14ac:dyDescent="0.25">
      <c r="A57" s="3" t="s">
        <v>68</v>
      </c>
      <c r="B57" s="3" t="s">
        <v>69</v>
      </c>
      <c r="C57" s="32" t="b">
        <v>0</v>
      </c>
      <c r="D57" s="3" t="s">
        <v>181</v>
      </c>
      <c r="E57" s="3">
        <v>30</v>
      </c>
      <c r="F57" s="3"/>
      <c r="G57" s="3"/>
      <c r="H57" s="7" t="b">
        <v>0</v>
      </c>
      <c r="I57" s="7" t="b">
        <v>0</v>
      </c>
      <c r="J57" s="7" t="b">
        <v>0</v>
      </c>
      <c r="K57" s="7" t="b">
        <v>1</v>
      </c>
      <c r="L57" s="3">
        <f>COUNTIF(Table1[[#This Row],[2nd &amp; Below]:[Senior Men]],TRUE)</f>
        <v>1</v>
      </c>
      <c r="M57" s="3">
        <f>IF(Table1[[#This Row],[Column1]]=1,120,180)</f>
        <v>120</v>
      </c>
    </row>
    <row r="58" spans="1:13" x14ac:dyDescent="0.25">
      <c r="A58" s="3" t="s">
        <v>70</v>
      </c>
      <c r="B58" s="3" t="s">
        <v>79</v>
      </c>
      <c r="C58" s="32" t="b">
        <v>0</v>
      </c>
      <c r="D58" s="3" t="s">
        <v>186</v>
      </c>
      <c r="E58" s="3">
        <v>13</v>
      </c>
      <c r="F58" s="3"/>
      <c r="G58" s="3"/>
      <c r="H58" s="7" t="b">
        <v>0</v>
      </c>
      <c r="I58" s="7" t="b">
        <v>1</v>
      </c>
      <c r="J58" s="7" t="b">
        <v>1</v>
      </c>
      <c r="K58" s="7" t="b">
        <v>0</v>
      </c>
      <c r="L58" s="3">
        <f>COUNTIF(Table1[[#This Row],[2nd &amp; Below]:[Senior Men]],TRUE)</f>
        <v>2</v>
      </c>
      <c r="M58" s="3">
        <f>IF(Table1[[#This Row],[Column1]]=1,120,180)</f>
        <v>180</v>
      </c>
    </row>
    <row r="59" spans="1:13" x14ac:dyDescent="0.25">
      <c r="A59" s="3" t="s">
        <v>71</v>
      </c>
      <c r="B59" s="3" t="s">
        <v>79</v>
      </c>
      <c r="C59" s="32" t="b">
        <v>0</v>
      </c>
      <c r="D59" s="3" t="s">
        <v>186</v>
      </c>
      <c r="E59" s="3">
        <v>16</v>
      </c>
      <c r="F59" s="3">
        <v>331</v>
      </c>
      <c r="G59" s="3"/>
      <c r="H59" s="7" t="b">
        <v>0</v>
      </c>
      <c r="I59" s="7" t="b">
        <v>1</v>
      </c>
      <c r="J59" s="7" t="b">
        <v>0</v>
      </c>
      <c r="K59" s="7" t="b">
        <v>0</v>
      </c>
      <c r="L59" s="3">
        <f>COUNTIF(Table1[[#This Row],[2nd &amp; Below]:[Senior Men]],TRUE)</f>
        <v>1</v>
      </c>
      <c r="M59" s="3">
        <f>IF(Table1[[#This Row],[Column1]]=1,120,180)</f>
        <v>120</v>
      </c>
    </row>
    <row r="60" spans="1:13" x14ac:dyDescent="0.25">
      <c r="A60" s="3" t="s">
        <v>72</v>
      </c>
      <c r="B60" s="3" t="s">
        <v>79</v>
      </c>
      <c r="C60" s="32" t="b">
        <v>0</v>
      </c>
      <c r="D60" s="3" t="s">
        <v>186</v>
      </c>
      <c r="E60" s="3">
        <v>40</v>
      </c>
      <c r="F60" s="3">
        <v>335</v>
      </c>
      <c r="G60" s="3"/>
      <c r="H60" s="7" t="b">
        <v>0</v>
      </c>
      <c r="I60" s="7" t="b">
        <v>1</v>
      </c>
      <c r="J60" s="7" t="b">
        <v>0</v>
      </c>
      <c r="K60" s="7" t="b">
        <v>0</v>
      </c>
      <c r="L60" s="3">
        <f>COUNTIF(Table1[[#This Row],[2nd &amp; Below]:[Senior Men]],TRUE)</f>
        <v>1</v>
      </c>
      <c r="M60" s="3">
        <f>IF(Table1[[#This Row],[Column1]]=1,120,180)</f>
        <v>120</v>
      </c>
    </row>
    <row r="61" spans="1:13" x14ac:dyDescent="0.25">
      <c r="A61" s="3" t="s">
        <v>73</v>
      </c>
      <c r="B61" s="3" t="s">
        <v>79</v>
      </c>
      <c r="C61" s="32" t="b">
        <v>0</v>
      </c>
      <c r="D61" s="3" t="s">
        <v>186</v>
      </c>
      <c r="E61" s="3">
        <v>22</v>
      </c>
      <c r="F61" s="3"/>
      <c r="G61" s="3"/>
      <c r="H61" s="7" t="b">
        <v>0</v>
      </c>
      <c r="I61" s="7" t="b">
        <v>1</v>
      </c>
      <c r="J61" s="7" t="b">
        <v>0</v>
      </c>
      <c r="K61" s="7" t="b">
        <v>0</v>
      </c>
      <c r="L61" s="3">
        <f>COUNTIF(Table1[[#This Row],[2nd &amp; Below]:[Senior Men]],TRUE)</f>
        <v>1</v>
      </c>
      <c r="M61" s="3">
        <f>IF(Table1[[#This Row],[Column1]]=1,120,180)</f>
        <v>120</v>
      </c>
    </row>
    <row r="62" spans="1:13" x14ac:dyDescent="0.25">
      <c r="A62" s="3" t="s">
        <v>74</v>
      </c>
      <c r="B62" s="3" t="s">
        <v>79</v>
      </c>
      <c r="C62" s="32" t="b">
        <v>0</v>
      </c>
      <c r="D62" s="3"/>
      <c r="E62" s="3"/>
      <c r="F62" s="3">
        <v>27</v>
      </c>
      <c r="G62" s="3"/>
      <c r="H62" s="7" t="b">
        <v>0</v>
      </c>
      <c r="I62" s="7" t="b">
        <v>1</v>
      </c>
      <c r="J62" s="7" t="b">
        <v>0</v>
      </c>
      <c r="K62" s="7" t="b">
        <v>0</v>
      </c>
      <c r="L62" s="3">
        <f>COUNTIF(Table1[[#This Row],[2nd &amp; Below]:[Senior Men]],TRUE)</f>
        <v>1</v>
      </c>
      <c r="M62" s="3">
        <f>IF(Table1[[#This Row],[Column1]]=1,120,180)</f>
        <v>120</v>
      </c>
    </row>
    <row r="63" spans="1:13" x14ac:dyDescent="0.25">
      <c r="A63" s="3" t="s">
        <v>75</v>
      </c>
      <c r="B63" s="3" t="s">
        <v>79</v>
      </c>
      <c r="C63" s="32" t="b">
        <v>0</v>
      </c>
      <c r="D63" s="3"/>
      <c r="E63" s="3"/>
      <c r="F63" s="3"/>
      <c r="G63" s="3"/>
      <c r="H63" s="7" t="b">
        <v>0</v>
      </c>
      <c r="I63" s="7" t="b">
        <v>1</v>
      </c>
      <c r="J63" s="7" t="b">
        <v>0</v>
      </c>
      <c r="K63" s="7" t="b">
        <v>0</v>
      </c>
      <c r="L63" s="3">
        <f>COUNTIF(Table1[[#This Row],[2nd &amp; Below]:[Senior Men]],TRUE)</f>
        <v>1</v>
      </c>
      <c r="M63" s="3">
        <f>IF(Table1[[#This Row],[Column1]]=1,120,180)</f>
        <v>120</v>
      </c>
    </row>
    <row r="64" spans="1:13" x14ac:dyDescent="0.25">
      <c r="A64" s="3" t="s">
        <v>76</v>
      </c>
      <c r="B64" s="3" t="s">
        <v>79</v>
      </c>
      <c r="C64" s="32" t="b">
        <v>0</v>
      </c>
      <c r="D64" s="3"/>
      <c r="E64" s="3"/>
      <c r="F64" s="3">
        <v>19</v>
      </c>
      <c r="G64" s="3"/>
      <c r="H64" s="7" t="b">
        <v>0</v>
      </c>
      <c r="I64" s="7" t="b">
        <v>1</v>
      </c>
      <c r="J64" s="7" t="b">
        <v>0</v>
      </c>
      <c r="K64" s="7" t="b">
        <v>0</v>
      </c>
      <c r="L64" s="3">
        <f>COUNTIF(Table1[[#This Row],[2nd &amp; Below]:[Senior Men]],TRUE)</f>
        <v>1</v>
      </c>
      <c r="M64" s="3">
        <f>IF(Table1[[#This Row],[Column1]]=1,120,180)</f>
        <v>120</v>
      </c>
    </row>
    <row r="65" spans="1:13" x14ac:dyDescent="0.25">
      <c r="A65" s="3" t="s">
        <v>77</v>
      </c>
      <c r="B65" s="3" t="s">
        <v>79</v>
      </c>
      <c r="C65" s="32" t="b">
        <v>0</v>
      </c>
      <c r="D65" s="3"/>
      <c r="E65" s="3"/>
      <c r="F65" s="3">
        <v>344</v>
      </c>
      <c r="G65" s="3"/>
      <c r="H65" s="7" t="b">
        <v>0</v>
      </c>
      <c r="I65" s="7" t="b">
        <v>1</v>
      </c>
      <c r="J65" s="7" t="b">
        <v>0</v>
      </c>
      <c r="K65" s="7" t="b">
        <v>0</v>
      </c>
      <c r="L65" s="3">
        <f>COUNTIF(Table1[[#This Row],[2nd &amp; Below]:[Senior Men]],TRUE)</f>
        <v>1</v>
      </c>
      <c r="M65" s="3">
        <f>IF(Table1[[#This Row],[Column1]]=1,120,180)</f>
        <v>120</v>
      </c>
    </row>
    <row r="66" spans="1:13" x14ac:dyDescent="0.25">
      <c r="A66" s="3" t="s">
        <v>78</v>
      </c>
      <c r="B66" s="3" t="s">
        <v>79</v>
      </c>
      <c r="C66" s="32" t="b">
        <v>0</v>
      </c>
      <c r="D66" s="3" t="s">
        <v>180</v>
      </c>
      <c r="E66" s="3">
        <v>14</v>
      </c>
      <c r="F66" s="3">
        <v>37</v>
      </c>
      <c r="G66" s="3"/>
      <c r="H66" s="7" t="b">
        <v>0</v>
      </c>
      <c r="I66" s="7" t="b">
        <v>0</v>
      </c>
      <c r="J66" s="7" t="b">
        <v>0</v>
      </c>
      <c r="K66" s="7" t="b">
        <v>1</v>
      </c>
      <c r="L66" s="3">
        <f>COUNTIF(Table1[[#This Row],[2nd &amp; Below]:[Senior Men]],TRUE)</f>
        <v>1</v>
      </c>
      <c r="M66" s="3">
        <f>IF(Table1[[#This Row],[Column1]]=1,120,180)</f>
        <v>120</v>
      </c>
    </row>
    <row r="67" spans="1:13" x14ac:dyDescent="0.25">
      <c r="A67" s="3" t="s">
        <v>80</v>
      </c>
      <c r="B67" s="3" t="s">
        <v>79</v>
      </c>
      <c r="C67" s="32" t="b">
        <v>0</v>
      </c>
      <c r="D67" s="3"/>
      <c r="E67" s="3"/>
      <c r="F67" s="3">
        <v>137</v>
      </c>
      <c r="G67" s="3"/>
      <c r="H67" s="7" t="b">
        <v>0</v>
      </c>
      <c r="I67" s="7" t="b">
        <v>1</v>
      </c>
      <c r="J67" s="7" t="b">
        <v>0</v>
      </c>
      <c r="K67" s="7" t="b">
        <v>0</v>
      </c>
      <c r="L67" s="3">
        <f>COUNTIF(Table1[[#This Row],[2nd &amp; Below]:[Senior Men]],TRUE)</f>
        <v>1</v>
      </c>
      <c r="M67" s="3">
        <f>IF(Table1[[#This Row],[Column1]]=1,120,180)</f>
        <v>120</v>
      </c>
    </row>
    <row r="68" spans="1:13" x14ac:dyDescent="0.25">
      <c r="A68" s="4" t="s">
        <v>86</v>
      </c>
      <c r="B68" s="3" t="s">
        <v>79</v>
      </c>
      <c r="C68" s="32" t="b">
        <v>0</v>
      </c>
      <c r="D68" s="3" t="s">
        <v>181</v>
      </c>
      <c r="E68" s="3">
        <v>20</v>
      </c>
      <c r="F68" s="3"/>
      <c r="G68" s="3"/>
      <c r="H68" s="7" t="b">
        <v>0</v>
      </c>
      <c r="I68" s="7" t="b">
        <v>0</v>
      </c>
      <c r="J68" s="7" t="b">
        <v>0</v>
      </c>
      <c r="K68" s="7" t="b">
        <v>1</v>
      </c>
      <c r="L68" s="3">
        <f>COUNTIF(Table1[[#This Row],[2nd &amp; Below]:[Senior Men]],TRUE)</f>
        <v>1</v>
      </c>
      <c r="M68" s="3">
        <f>IF(Table1[[#This Row],[Column1]]=1,120,180)</f>
        <v>120</v>
      </c>
    </row>
    <row r="69" spans="1:13" x14ac:dyDescent="0.25">
      <c r="A69" s="3" t="s">
        <v>87</v>
      </c>
      <c r="B69" s="3" t="s">
        <v>93</v>
      </c>
      <c r="C69" s="32" t="b">
        <v>1</v>
      </c>
      <c r="D69" s="3"/>
      <c r="E69" s="3"/>
      <c r="F69" s="3">
        <v>2</v>
      </c>
      <c r="G69" s="3"/>
      <c r="H69" s="7" t="b">
        <v>0</v>
      </c>
      <c r="I69" s="7" t="b">
        <v>0</v>
      </c>
      <c r="J69" s="7" t="b">
        <v>0</v>
      </c>
      <c r="K69" s="7" t="b">
        <v>1</v>
      </c>
      <c r="L69" s="3">
        <f>COUNTIF(Table1[[#This Row],[2nd &amp; Below]:[Senior Men]],TRUE)</f>
        <v>1</v>
      </c>
      <c r="M69" s="3">
        <f>IF(Table1[[#This Row],[Column1]]=1,120,180)</f>
        <v>120</v>
      </c>
    </row>
    <row r="70" spans="1:13" x14ac:dyDescent="0.25">
      <c r="A70" s="3" t="s">
        <v>88</v>
      </c>
      <c r="B70" s="3" t="s">
        <v>79</v>
      </c>
      <c r="C70" s="32" t="b">
        <v>0</v>
      </c>
      <c r="D70" s="3" t="s">
        <v>181</v>
      </c>
      <c r="E70" s="3">
        <v>3</v>
      </c>
      <c r="F70" s="3">
        <v>411</v>
      </c>
      <c r="G70" s="3"/>
      <c r="H70" s="7" t="b">
        <v>0</v>
      </c>
      <c r="I70" s="7" t="b">
        <v>0</v>
      </c>
      <c r="J70" s="7" t="b">
        <v>0</v>
      </c>
      <c r="K70" s="7" t="b">
        <v>1</v>
      </c>
      <c r="L70" s="3">
        <f>COUNTIF(Table1[[#This Row],[2nd &amp; Below]:[Senior Men]],TRUE)</f>
        <v>1</v>
      </c>
      <c r="M70" s="3">
        <f>IF(Table1[[#This Row],[Column1]]=1,120,180)</f>
        <v>120</v>
      </c>
    </row>
    <row r="71" spans="1:13" x14ac:dyDescent="0.25">
      <c r="A71" s="3" t="s">
        <v>89</v>
      </c>
      <c r="B71" s="3" t="s">
        <v>63</v>
      </c>
      <c r="C71" s="32" t="b">
        <v>0</v>
      </c>
      <c r="D71" s="3" t="s">
        <v>183</v>
      </c>
      <c r="E71" s="3">
        <v>27</v>
      </c>
      <c r="F71" s="3"/>
      <c r="G71" s="3"/>
      <c r="H71" s="7" t="b">
        <v>0</v>
      </c>
      <c r="I71" s="7" t="b">
        <v>1</v>
      </c>
      <c r="J71" s="7" t="b">
        <v>0</v>
      </c>
      <c r="K71" s="7" t="b">
        <v>0</v>
      </c>
      <c r="L71" s="3">
        <f>COUNTIF(Table1[[#This Row],[2nd &amp; Below]:[Senior Men]],TRUE)</f>
        <v>1</v>
      </c>
      <c r="M71" s="3">
        <f>IF(Table1[[#This Row],[Column1]]=1,120,180)</f>
        <v>120</v>
      </c>
    </row>
    <row r="72" spans="1:13" x14ac:dyDescent="0.25">
      <c r="A72" s="3" t="s">
        <v>91</v>
      </c>
      <c r="B72" s="3" t="s">
        <v>79</v>
      </c>
      <c r="C72" s="32" t="b">
        <v>0</v>
      </c>
      <c r="D72" s="3" t="s">
        <v>186</v>
      </c>
      <c r="E72" s="3">
        <v>7</v>
      </c>
      <c r="F72" s="3">
        <v>69</v>
      </c>
      <c r="G72" s="3"/>
      <c r="H72" s="7" t="b">
        <v>0</v>
      </c>
      <c r="I72" s="7" t="b">
        <v>0</v>
      </c>
      <c r="J72" s="7" t="b">
        <v>0</v>
      </c>
      <c r="K72" s="7" t="b">
        <v>1</v>
      </c>
      <c r="L72" s="3">
        <f>COUNTIF(Table1[[#This Row],[2nd &amp; Below]:[Senior Men]],TRUE)</f>
        <v>1</v>
      </c>
      <c r="M72" s="3">
        <f>IF(Table1[[#This Row],[Column1]]=1,120,180)</f>
        <v>120</v>
      </c>
    </row>
    <row r="73" spans="1:13" x14ac:dyDescent="0.25">
      <c r="A73" s="3" t="s">
        <v>92</v>
      </c>
      <c r="B73" s="3" t="s">
        <v>79</v>
      </c>
      <c r="C73" s="32" t="b">
        <v>0</v>
      </c>
      <c r="D73" s="3" t="s">
        <v>180</v>
      </c>
      <c r="E73" s="3">
        <v>7</v>
      </c>
      <c r="F73" s="3">
        <v>23</v>
      </c>
      <c r="G73" s="3"/>
      <c r="H73" s="7" t="b">
        <v>0</v>
      </c>
      <c r="I73" s="7" t="b">
        <v>0</v>
      </c>
      <c r="J73" s="7" t="b">
        <v>0</v>
      </c>
      <c r="K73" s="7" t="b">
        <v>1</v>
      </c>
      <c r="L73" s="3">
        <f>COUNTIF(Table1[[#This Row],[2nd &amp; Below]:[Senior Men]],TRUE)</f>
        <v>1</v>
      </c>
      <c r="M73" s="3">
        <f>IF(Table1[[#This Row],[Column1]]=1,120,180)</f>
        <v>120</v>
      </c>
    </row>
    <row r="74" spans="1:13" x14ac:dyDescent="0.25">
      <c r="A74" s="12" t="s">
        <v>177</v>
      </c>
      <c r="B74" s="12" t="s">
        <v>178</v>
      </c>
      <c r="C74" s="33" t="b">
        <v>0</v>
      </c>
      <c r="D74" s="12" t="s">
        <v>181</v>
      </c>
      <c r="E74" s="12">
        <v>32</v>
      </c>
      <c r="F74" s="12">
        <v>701</v>
      </c>
      <c r="G74" s="12"/>
      <c r="H74" s="13" t="b">
        <v>1</v>
      </c>
      <c r="I74" s="13" t="b">
        <v>1</v>
      </c>
      <c r="J74" s="13" t="b">
        <v>0</v>
      </c>
      <c r="K74" s="13" t="b">
        <v>0</v>
      </c>
      <c r="L74" s="3">
        <f>COUNTIF(Table1[[#This Row],[2nd &amp; Below]:[Senior Men]],TRUE)</f>
        <v>2</v>
      </c>
      <c r="M74" s="3">
        <f>IF(Table1[[#This Row],[Column1]]=1,120,180)</f>
        <v>180</v>
      </c>
    </row>
    <row r="75" spans="1:13" x14ac:dyDescent="0.25">
      <c r="A75" s="12" t="s">
        <v>187</v>
      </c>
      <c r="B75" s="12" t="s">
        <v>188</v>
      </c>
      <c r="C75" s="33" t="b">
        <v>0</v>
      </c>
      <c r="D75" s="12"/>
      <c r="E75" s="12"/>
      <c r="F75" s="12"/>
      <c r="G75" s="12"/>
      <c r="H75" s="13" t="b">
        <v>1</v>
      </c>
      <c r="I75" s="13" t="b">
        <v>0</v>
      </c>
      <c r="J75" s="13" t="b">
        <v>0</v>
      </c>
      <c r="K75" s="13" t="b">
        <v>0</v>
      </c>
      <c r="L75" s="12">
        <f>COUNTIF(Table1[[#This Row],[2nd &amp; Below]:[Senior Men]],TRUE)</f>
        <v>1</v>
      </c>
      <c r="M75" s="12">
        <f>IF(Table1[[#This Row],[Column1]]=1,120,180)</f>
        <v>120</v>
      </c>
    </row>
    <row r="76" spans="1:13" x14ac:dyDescent="0.25">
      <c r="A76" s="12" t="s">
        <v>189</v>
      </c>
      <c r="B76" s="12" t="s">
        <v>188</v>
      </c>
      <c r="C76" s="33" t="b">
        <v>0</v>
      </c>
      <c r="D76" s="12"/>
      <c r="E76" s="12"/>
      <c r="F76" s="12"/>
      <c r="G76" s="12"/>
      <c r="H76" s="13" t="b">
        <v>1</v>
      </c>
      <c r="I76" s="13" t="b">
        <v>0</v>
      </c>
      <c r="J76" s="13" t="b">
        <v>0</v>
      </c>
      <c r="K76" s="13" t="b">
        <v>0</v>
      </c>
      <c r="L76" s="12">
        <f>COUNTIF(Table1[[#This Row],[2nd &amp; Below]:[Senior Men]],TRUE)</f>
        <v>1</v>
      </c>
      <c r="M76" s="12">
        <f>IF(Table1[[#This Row],[Column1]]=1,120,180)</f>
        <v>120</v>
      </c>
    </row>
    <row r="77" spans="1:13" x14ac:dyDescent="0.25">
      <c r="A77" s="12" t="s">
        <v>190</v>
      </c>
      <c r="B77" s="12" t="s">
        <v>188</v>
      </c>
      <c r="C77" s="33" t="b">
        <v>0</v>
      </c>
      <c r="D77" s="12"/>
      <c r="E77" s="12"/>
      <c r="F77" s="12"/>
      <c r="G77" s="12"/>
      <c r="H77" s="13" t="b">
        <v>1</v>
      </c>
      <c r="I77" s="13" t="b">
        <v>0</v>
      </c>
      <c r="J77" s="13" t="b">
        <v>0</v>
      </c>
      <c r="K77" s="13" t="b">
        <v>0</v>
      </c>
      <c r="L77" s="12">
        <f>COUNTIF(Table1[[#This Row],[2nd &amp; Below]:[Senior Men]],TRUE)</f>
        <v>1</v>
      </c>
      <c r="M77" s="12">
        <f>IF(Table1[[#This Row],[Column1]]=1,120,180)</f>
        <v>120</v>
      </c>
    </row>
    <row r="78" spans="1:13" x14ac:dyDescent="0.25">
      <c r="A78" s="12" t="s">
        <v>191</v>
      </c>
      <c r="B78" s="12" t="s">
        <v>188</v>
      </c>
      <c r="C78" s="33" t="b">
        <v>0</v>
      </c>
      <c r="D78" s="12"/>
      <c r="E78" s="12"/>
      <c r="F78" s="12"/>
      <c r="G78" s="12"/>
      <c r="H78" s="13" t="b">
        <v>0</v>
      </c>
      <c r="I78" s="13" t="b">
        <v>1</v>
      </c>
      <c r="J78" s="13" t="b">
        <v>0</v>
      </c>
      <c r="K78" s="13" t="b">
        <v>0</v>
      </c>
      <c r="L78" s="12">
        <f>COUNTIF(Table1[[#This Row],[2nd &amp; Below]:[Senior Men]],TRUE)</f>
        <v>1</v>
      </c>
      <c r="M78" s="12">
        <f>IF(Table1[[#This Row],[Column1]]=1,120,180)</f>
        <v>120</v>
      </c>
    </row>
    <row r="79" spans="1:13" x14ac:dyDescent="0.25">
      <c r="A79" s="30" t="s">
        <v>192</v>
      </c>
      <c r="B79" s="30" t="s">
        <v>188</v>
      </c>
      <c r="C79" s="34" t="b">
        <v>0</v>
      </c>
      <c r="D79" s="28"/>
      <c r="E79" s="28"/>
      <c r="F79" s="28"/>
      <c r="G79" s="28"/>
      <c r="H79" s="29" t="b">
        <v>1</v>
      </c>
      <c r="I79" s="29" t="b">
        <v>0</v>
      </c>
      <c r="J79" s="29" t="b">
        <v>0</v>
      </c>
      <c r="K79" s="29" t="b">
        <v>0</v>
      </c>
      <c r="L79" s="28">
        <f>COUNTIF(Table1[[#This Row],[2nd &amp; Below]:[Senior Men]],TRUE)</f>
        <v>1</v>
      </c>
      <c r="M79" s="28">
        <f>IF(Table1[[#This Row],[Column1]]=1,120,180)</f>
        <v>120</v>
      </c>
    </row>
    <row r="80" spans="1:13" x14ac:dyDescent="0.25">
      <c r="A80" s="12" t="s">
        <v>193</v>
      </c>
      <c r="B80" s="12" t="s">
        <v>19</v>
      </c>
      <c r="C80" s="33" t="b">
        <v>0</v>
      </c>
      <c r="D80" s="12"/>
      <c r="E80" s="12"/>
      <c r="F80" s="12"/>
      <c r="G80" s="12"/>
      <c r="H80" s="13" t="b">
        <v>1</v>
      </c>
      <c r="I80" s="13" t="b">
        <v>0</v>
      </c>
      <c r="J80" s="13" t="b">
        <v>0</v>
      </c>
      <c r="K80" s="13" t="b">
        <v>1</v>
      </c>
      <c r="L80" s="12">
        <f>COUNTIF(Table1[[#This Row],[2nd &amp; Below]:[Senior Men]],TRUE)</f>
        <v>2</v>
      </c>
      <c r="M80" s="12">
        <f>IF(Table1[[#This Row],[Column1]]=1,120,180)</f>
        <v>180</v>
      </c>
    </row>
    <row r="81" spans="1:13" x14ac:dyDescent="0.25">
      <c r="A81" s="12" t="s">
        <v>194</v>
      </c>
      <c r="B81" s="12" t="s">
        <v>19</v>
      </c>
      <c r="C81" s="33" t="b">
        <v>0</v>
      </c>
      <c r="D81" s="12"/>
      <c r="E81" s="12"/>
      <c r="F81" s="12"/>
      <c r="G81" s="12"/>
      <c r="H81" s="13" t="b">
        <v>0</v>
      </c>
      <c r="I81" s="13" t="b">
        <v>0</v>
      </c>
      <c r="J81" s="13" t="b">
        <v>0</v>
      </c>
      <c r="K81" s="13" t="b">
        <v>1</v>
      </c>
      <c r="L81" s="12">
        <f>COUNTIF(Table1[[#This Row],[2nd &amp; Below]:[Senior Men]],TRUE)</f>
        <v>1</v>
      </c>
      <c r="M81" s="12">
        <f>IF(Table1[[#This Row],[Column1]]=1,120,180)</f>
        <v>120</v>
      </c>
    </row>
    <row r="82" spans="1:13" x14ac:dyDescent="0.25">
      <c r="A82" s="12" t="s">
        <v>195</v>
      </c>
      <c r="B82" s="12" t="s">
        <v>19</v>
      </c>
      <c r="C82" s="33" t="b">
        <v>0</v>
      </c>
      <c r="D82" s="12"/>
      <c r="E82" s="12"/>
      <c r="F82" s="12"/>
      <c r="G82" s="12"/>
      <c r="H82" s="13" t="b">
        <v>0</v>
      </c>
      <c r="I82" s="13" t="b">
        <v>0</v>
      </c>
      <c r="J82" s="13" t="b">
        <v>0</v>
      </c>
      <c r="K82" s="13" t="b">
        <v>1</v>
      </c>
      <c r="L82" s="12">
        <f>COUNTIF(Table1[[#This Row],[2nd &amp; Below]:[Senior Men]],TRUE)</f>
        <v>1</v>
      </c>
      <c r="M82" s="12">
        <f>IF(Table1[[#This Row],[Column1]]=1,120,180)</f>
        <v>120</v>
      </c>
    </row>
    <row r="83" spans="1:13" x14ac:dyDescent="0.25">
      <c r="A83" s="12" t="s">
        <v>196</v>
      </c>
      <c r="B83" s="12" t="s">
        <v>19</v>
      </c>
      <c r="C83" s="33" t="b">
        <v>0</v>
      </c>
      <c r="D83" s="12"/>
      <c r="E83" s="12"/>
      <c r="F83" s="12"/>
      <c r="G83" s="12"/>
      <c r="H83" s="13" t="b">
        <v>0</v>
      </c>
      <c r="I83" s="13" t="b">
        <v>1</v>
      </c>
      <c r="J83" s="13" t="b">
        <v>0</v>
      </c>
      <c r="K83" s="13" t="b">
        <v>0</v>
      </c>
      <c r="L83" s="12">
        <f>COUNTIF(Table1[[#This Row],[2nd &amp; Below]:[Senior Men]],TRUE)</f>
        <v>1</v>
      </c>
      <c r="M83" s="12">
        <f>IF(Table1[[#This Row],[Column1]]=1,120,180)</f>
        <v>120</v>
      </c>
    </row>
    <row r="84" spans="1:13" x14ac:dyDescent="0.25">
      <c r="A84" s="12" t="s">
        <v>197</v>
      </c>
      <c r="B84" s="12" t="s">
        <v>19</v>
      </c>
      <c r="C84" s="33" t="b">
        <v>0</v>
      </c>
      <c r="D84" s="12"/>
      <c r="E84" s="12"/>
      <c r="F84" s="12"/>
      <c r="G84" s="12"/>
      <c r="H84" s="13" t="b">
        <v>0</v>
      </c>
      <c r="I84" s="13" t="b">
        <v>0</v>
      </c>
      <c r="J84" s="13" t="b">
        <v>0</v>
      </c>
      <c r="K84" s="13" t="b">
        <v>1</v>
      </c>
      <c r="L84" s="12">
        <f>COUNTIF(Table1[[#This Row],[2nd &amp; Below]:[Senior Men]],TRUE)</f>
        <v>1</v>
      </c>
      <c r="M84" s="12">
        <f>IF(Table1[[#This Row],[Column1]]=1,120,180)</f>
        <v>120</v>
      </c>
    </row>
    <row r="85" spans="1:13" ht="15.75" thickBot="1" x14ac:dyDescent="0.3">
      <c r="A85" s="5" t="s">
        <v>81</v>
      </c>
      <c r="B85" s="5"/>
      <c r="C85" s="5"/>
      <c r="D85" s="5"/>
      <c r="E85" s="5"/>
      <c r="F85" s="5"/>
      <c r="G85" s="5"/>
      <c r="H85" s="5">
        <f>COUNTIF(Table1[2nd &amp; Below],TRUE)</f>
        <v>37</v>
      </c>
      <c r="I85" s="5">
        <f>COUNTIF(Table1[5th &amp; Below],TRUE)</f>
        <v>33</v>
      </c>
      <c r="J85" s="5">
        <f>COUNTIF(Table1[Senior Women],TRUE)</f>
        <v>7</v>
      </c>
      <c r="K85" s="5">
        <f>COUNTIF(Table1[Senior Men],TRUE)</f>
        <v>37</v>
      </c>
      <c r="L85" s="5"/>
      <c r="M85" s="5">
        <f>SUM(Table1[Column2])</f>
        <v>11820</v>
      </c>
    </row>
    <row r="86" spans="1:13" x14ac:dyDescent="0.25">
      <c r="H86">
        <f>4*8+2*3</f>
        <v>38</v>
      </c>
      <c r="I86">
        <f>2*3+4*7</f>
        <v>34</v>
      </c>
      <c r="K86">
        <f>3*3+7*4</f>
        <v>37</v>
      </c>
    </row>
  </sheetData>
  <phoneticPr fontId="1" type="noConversion"/>
  <conditionalFormatting sqref="H2:K84">
    <cfRule type="cellIs" dxfId="5" priority="2" operator="equal">
      <formula>TRUE</formula>
    </cfRule>
  </conditionalFormatting>
  <pageMargins left="0.7" right="0.7" top="0.75" bottom="0.75" header="0.3" footer="0.3"/>
  <pageSetup scale="51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709C-EF7D-49A8-A5D9-26C6112CBBB3}">
  <dimension ref="A1:D38"/>
  <sheetViews>
    <sheetView topLeftCell="A3" workbookViewId="0">
      <selection activeCell="A23" sqref="A23:D23"/>
    </sheetView>
  </sheetViews>
  <sheetFormatPr defaultRowHeight="15" x14ac:dyDescent="0.25"/>
  <cols>
    <col min="1" max="1" width="31.85546875" bestFit="1" customWidth="1"/>
    <col min="2" max="2" width="17.28515625" bestFit="1" customWidth="1"/>
  </cols>
  <sheetData>
    <row r="1" spans="1:4" ht="24" x14ac:dyDescent="0.4">
      <c r="A1" s="10" t="s">
        <v>171</v>
      </c>
    </row>
    <row r="2" spans="1:4" ht="15.75" x14ac:dyDescent="0.25">
      <c r="A2" s="9" t="str" cm="1">
        <f t="array" ref="A2:D38">_xlfn.CHOOSECOLS(_xlfn._xlws.FILTER(Table1[Name]:Table1[Senior Women],Table1[2nd &amp; Below]=TRUE),1,2,8,9)</f>
        <v>Le Roux Strydom</v>
      </c>
      <c r="B2" t="str">
        <v>Maties</v>
      </c>
      <c r="C2" t="b">
        <v>1</v>
      </c>
      <c r="D2" t="b">
        <v>0</v>
      </c>
    </row>
    <row r="3" spans="1:4" ht="15.75" x14ac:dyDescent="0.25">
      <c r="A3" s="9" t="str">
        <v>DJ Swanevelder</v>
      </c>
      <c r="B3" t="str">
        <v>Maties</v>
      </c>
      <c r="C3" t="b">
        <v>1</v>
      </c>
      <c r="D3" t="b">
        <v>0</v>
      </c>
    </row>
    <row r="4" spans="1:4" ht="15.75" x14ac:dyDescent="0.25">
      <c r="A4" s="9" t="str">
        <v>Tian Louw</v>
      </c>
      <c r="B4" t="str">
        <v>Maties</v>
      </c>
      <c r="C4" t="b">
        <v>1</v>
      </c>
      <c r="D4" t="b">
        <v>0</v>
      </c>
    </row>
    <row r="5" spans="1:4" ht="15.75" x14ac:dyDescent="0.25">
      <c r="A5" s="9" t="str">
        <v>Tazmin Harris</v>
      </c>
      <c r="B5" t="str">
        <v>Duinefontein TTC</v>
      </c>
      <c r="C5" t="b">
        <v>1</v>
      </c>
      <c r="D5" t="b">
        <v>0</v>
      </c>
    </row>
    <row r="6" spans="1:4" ht="15.75" x14ac:dyDescent="0.25">
      <c r="A6" s="9" t="str">
        <v>Adam Domingo</v>
      </c>
      <c r="B6" t="str">
        <v>Duinefontein TTC</v>
      </c>
      <c r="C6" t="b">
        <v>1</v>
      </c>
      <c r="D6" t="b">
        <v>0</v>
      </c>
    </row>
    <row r="7" spans="1:4" ht="15.75" x14ac:dyDescent="0.25">
      <c r="A7" s="9" t="str">
        <v>Allan Clark</v>
      </c>
      <c r="B7" t="str">
        <v>TOP</v>
      </c>
      <c r="C7" t="b">
        <v>1</v>
      </c>
      <c r="D7" t="b">
        <v>0</v>
      </c>
    </row>
    <row r="8" spans="1:4" ht="15.75" x14ac:dyDescent="0.25">
      <c r="A8" s="9" t="str">
        <v>Quentin Thomas</v>
      </c>
      <c r="B8" t="str">
        <v>TOP</v>
      </c>
      <c r="C8" t="b">
        <v>1</v>
      </c>
      <c r="D8" t="b">
        <v>0</v>
      </c>
    </row>
    <row r="9" spans="1:4" ht="15.75" x14ac:dyDescent="0.25">
      <c r="A9" s="9" t="str">
        <v>Kirk Daries</v>
      </c>
      <c r="B9" t="str">
        <v>STEPH'S</v>
      </c>
      <c r="C9" t="b">
        <v>1</v>
      </c>
      <c r="D9" t="b">
        <v>0</v>
      </c>
    </row>
    <row r="10" spans="1:4" ht="15.75" x14ac:dyDescent="0.25">
      <c r="A10" s="9" t="str">
        <v>Sedick Abrahams</v>
      </c>
      <c r="B10" t="str">
        <v>STEPH'S</v>
      </c>
      <c r="C10" t="b">
        <v>1</v>
      </c>
      <c r="D10" t="b">
        <v>0</v>
      </c>
    </row>
    <row r="11" spans="1:4" ht="15.75" x14ac:dyDescent="0.25">
      <c r="A11" s="9" t="str">
        <v>Saaliegh Jabaar</v>
      </c>
      <c r="B11" t="str">
        <v>NEXUS</v>
      </c>
      <c r="C11" t="b">
        <v>1</v>
      </c>
      <c r="D11" t="b">
        <v>0</v>
      </c>
    </row>
    <row r="12" spans="1:4" ht="15.75" x14ac:dyDescent="0.25">
      <c r="A12" s="9" t="str">
        <v>Amien Phillips</v>
      </c>
      <c r="B12" t="str">
        <v>NEXUS</v>
      </c>
      <c r="C12" t="b">
        <v>1</v>
      </c>
      <c r="D12" t="b">
        <v>0</v>
      </c>
    </row>
    <row r="13" spans="1:4" ht="15.75" x14ac:dyDescent="0.25">
      <c r="A13" s="9" t="str">
        <v>Timothy Sabad</v>
      </c>
      <c r="B13" t="str">
        <v>NEXUS</v>
      </c>
      <c r="C13" t="b">
        <v>1</v>
      </c>
      <c r="D13" t="b">
        <v>0</v>
      </c>
    </row>
    <row r="14" spans="1:4" ht="15.75" x14ac:dyDescent="0.25">
      <c r="A14" s="9" t="str">
        <v>Rafiq Tofa</v>
      </c>
      <c r="B14" t="str">
        <v>NEXUS</v>
      </c>
      <c r="C14" t="b">
        <v>1</v>
      </c>
      <c r="D14" t="b">
        <v>0</v>
      </c>
    </row>
    <row r="15" spans="1:4" ht="15.75" x14ac:dyDescent="0.25">
      <c r="A15" s="9" t="str">
        <v>Craig Fortuin</v>
      </c>
      <c r="B15" t="str">
        <v>NEXUS</v>
      </c>
      <c r="C15" t="b">
        <v>1</v>
      </c>
      <c r="D15" t="b">
        <v>0</v>
      </c>
    </row>
    <row r="16" spans="1:4" ht="15.75" x14ac:dyDescent="0.25">
      <c r="A16" s="9" t="str">
        <v xml:space="preserve">Mujaid Hoffman </v>
      </c>
      <c r="B16" t="str">
        <v>Community House</v>
      </c>
      <c r="C16" t="b">
        <v>1</v>
      </c>
      <c r="D16" t="b">
        <v>0</v>
      </c>
    </row>
    <row r="17" spans="1:4" ht="15.75" x14ac:dyDescent="0.25">
      <c r="A17" s="9" t="str">
        <v>Lawrence Omadeli</v>
      </c>
      <c r="B17" t="str">
        <v>Community House</v>
      </c>
      <c r="C17" t="b">
        <v>1</v>
      </c>
      <c r="D17" t="b">
        <v>1</v>
      </c>
    </row>
    <row r="18" spans="1:4" ht="15.75" x14ac:dyDescent="0.25">
      <c r="A18" s="9" t="str">
        <v>Yusuf Ebrahim</v>
      </c>
      <c r="B18" t="str">
        <v>Community House</v>
      </c>
      <c r="C18" t="b">
        <v>1</v>
      </c>
      <c r="D18" t="b">
        <v>1</v>
      </c>
    </row>
    <row r="19" spans="1:4" ht="15.75" x14ac:dyDescent="0.25">
      <c r="A19" s="9" t="str">
        <v>Felix Monday</v>
      </c>
      <c r="B19" t="str">
        <v>Community House</v>
      </c>
      <c r="C19" t="b">
        <v>1</v>
      </c>
      <c r="D19" t="b">
        <v>1</v>
      </c>
    </row>
    <row r="20" spans="1:4" ht="15.75" x14ac:dyDescent="0.25">
      <c r="A20" s="9" t="str">
        <v>Dave Sanusi</v>
      </c>
      <c r="B20" t="str">
        <v>Community House</v>
      </c>
      <c r="C20" t="b">
        <v>1</v>
      </c>
      <c r="D20" t="b">
        <v>1</v>
      </c>
    </row>
    <row r="21" spans="1:4" ht="15.75" x14ac:dyDescent="0.25">
      <c r="A21" s="9" t="str">
        <v>Janine Sait</v>
      </c>
      <c r="B21" t="str">
        <v>Community House</v>
      </c>
      <c r="C21" t="b">
        <v>1</v>
      </c>
      <c r="D21" t="b">
        <v>0</v>
      </c>
    </row>
    <row r="22" spans="1:4" ht="15.75" x14ac:dyDescent="0.25">
      <c r="A22" s="9" t="str">
        <v>Elijah Trout</v>
      </c>
      <c r="B22" t="str">
        <v>Community House</v>
      </c>
      <c r="C22" t="b">
        <v>1</v>
      </c>
      <c r="D22" t="b">
        <v>0</v>
      </c>
    </row>
    <row r="23" spans="1:4" ht="15.75" x14ac:dyDescent="0.25">
      <c r="A23" s="9" t="str">
        <v>Lateef Samad</v>
      </c>
      <c r="B23" t="str">
        <v>Community House</v>
      </c>
      <c r="C23" t="b">
        <v>1</v>
      </c>
      <c r="D23" t="b">
        <v>0</v>
      </c>
    </row>
    <row r="24" spans="1:4" ht="15.75" x14ac:dyDescent="0.25">
      <c r="A24" s="9" t="str">
        <v>Enrico Louw</v>
      </c>
      <c r="B24" t="str">
        <v>Goodwood</v>
      </c>
      <c r="C24" t="b">
        <v>1</v>
      </c>
      <c r="D24" t="b">
        <v>1</v>
      </c>
    </row>
    <row r="25" spans="1:4" ht="15.75" x14ac:dyDescent="0.25">
      <c r="A25" s="9" t="str">
        <v>Andre Taljaard</v>
      </c>
      <c r="B25" t="str">
        <v>Goodwood</v>
      </c>
      <c r="C25" t="b">
        <v>1</v>
      </c>
      <c r="D25" t="b">
        <v>1</v>
      </c>
    </row>
    <row r="26" spans="1:4" ht="15.75" x14ac:dyDescent="0.25">
      <c r="A26" s="9" t="str">
        <v>Delton Alexander</v>
      </c>
      <c r="B26" t="str">
        <v>Goodwood</v>
      </c>
      <c r="C26" t="b">
        <v>1</v>
      </c>
      <c r="D26" t="b">
        <v>0</v>
      </c>
    </row>
    <row r="27" spans="1:4" ht="15.75" x14ac:dyDescent="0.25">
      <c r="A27" s="9" t="str">
        <v>Brendan o' Connell</v>
      </c>
      <c r="B27" t="str">
        <v>Goodwood</v>
      </c>
      <c r="C27" t="b">
        <v>1</v>
      </c>
      <c r="D27" t="b">
        <v>0</v>
      </c>
    </row>
    <row r="28" spans="1:4" ht="15.75" x14ac:dyDescent="0.25">
      <c r="A28" s="9" t="str">
        <v>Pedro Fortuin</v>
      </c>
      <c r="B28" t="str">
        <v>Goodwood</v>
      </c>
      <c r="C28" t="b">
        <v>1</v>
      </c>
      <c r="D28" t="b">
        <v>1</v>
      </c>
    </row>
    <row r="29" spans="1:4" ht="15.75" x14ac:dyDescent="0.25">
      <c r="A29" s="9" t="str">
        <v>Musfiquh Kalam</v>
      </c>
      <c r="B29" t="str">
        <v xml:space="preserve">Boundary </v>
      </c>
      <c r="C29" t="b">
        <v>1</v>
      </c>
      <c r="D29" t="b">
        <v>0</v>
      </c>
    </row>
    <row r="30" spans="1:4" ht="15.75" x14ac:dyDescent="0.25">
      <c r="A30" s="9" t="str">
        <v>Tamika Van Aa</v>
      </c>
      <c r="B30" t="str">
        <v>Boundary</v>
      </c>
      <c r="C30" t="b">
        <v>1</v>
      </c>
      <c r="D30" t="b">
        <v>0</v>
      </c>
    </row>
    <row r="31" spans="1:4" ht="15.75" x14ac:dyDescent="0.25">
      <c r="A31" s="9" t="str">
        <v>Graham Van As</v>
      </c>
      <c r="B31" t="str">
        <v>Boundary</v>
      </c>
      <c r="C31" t="b">
        <v>1</v>
      </c>
      <c r="D31" t="b">
        <v>0</v>
      </c>
    </row>
    <row r="32" spans="1:4" ht="15.75" x14ac:dyDescent="0.25">
      <c r="A32" s="9" t="str">
        <v>Soso</v>
      </c>
      <c r="B32">
        <v>0</v>
      </c>
      <c r="C32" t="b">
        <v>1</v>
      </c>
      <c r="D32" t="b">
        <v>0</v>
      </c>
    </row>
    <row r="33" spans="1:4" ht="15.75" x14ac:dyDescent="0.25">
      <c r="A33" s="9" t="str">
        <v>Ethan Hinrichsen</v>
      </c>
      <c r="B33" t="str">
        <v>UCT</v>
      </c>
      <c r="C33" t="b">
        <v>1</v>
      </c>
      <c r="D33" t="b">
        <v>1</v>
      </c>
    </row>
    <row r="34" spans="1:4" ht="15.75" x14ac:dyDescent="0.25">
      <c r="A34" s="9" t="str">
        <v>Llewellyn Bartlett</v>
      </c>
      <c r="B34" t="str">
        <v>MP Royals</v>
      </c>
      <c r="C34" t="b">
        <v>1</v>
      </c>
      <c r="D34" t="b">
        <v>0</v>
      </c>
    </row>
    <row r="35" spans="1:4" x14ac:dyDescent="0.25">
      <c r="A35" t="str">
        <v>Abubakr Manuel</v>
      </c>
      <c r="B35" t="str">
        <v>MP Royals</v>
      </c>
      <c r="C35" t="b">
        <v>1</v>
      </c>
      <c r="D35" t="b">
        <v>0</v>
      </c>
    </row>
    <row r="36" spans="1:4" x14ac:dyDescent="0.25">
      <c r="A36" t="str">
        <v>Yaqeen Manuel</v>
      </c>
      <c r="B36" t="str">
        <v>MP Royals</v>
      </c>
      <c r="C36" t="b">
        <v>1</v>
      </c>
      <c r="D36" t="b">
        <v>0</v>
      </c>
    </row>
    <row r="37" spans="1:4" x14ac:dyDescent="0.25">
      <c r="A37" t="str">
        <v>Ilyaas Patel</v>
      </c>
      <c r="B37" t="str">
        <v>MP Royals</v>
      </c>
      <c r="C37" t="b">
        <v>1</v>
      </c>
      <c r="D37" t="b">
        <v>0</v>
      </c>
    </row>
    <row r="38" spans="1:4" x14ac:dyDescent="0.25">
      <c r="A38" t="str">
        <v>Gielie Matee</v>
      </c>
      <c r="B38" t="str">
        <v>TOP</v>
      </c>
      <c r="C38" t="b">
        <v>1</v>
      </c>
      <c r="D38" t="b">
        <v>0</v>
      </c>
    </row>
  </sheetData>
  <conditionalFormatting sqref="C2:D37">
    <cfRule type="cellIs" dxfId="4" priority="1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9985-8C42-47F9-887C-80BAC08CD96D}">
  <dimension ref="A1:O31"/>
  <sheetViews>
    <sheetView tabSelected="1" zoomScaleNormal="100" workbookViewId="0">
      <selection activeCell="M23" sqref="M23"/>
    </sheetView>
  </sheetViews>
  <sheetFormatPr defaultRowHeight="15" x14ac:dyDescent="0.25"/>
  <cols>
    <col min="1" max="1" width="10" bestFit="1" customWidth="1"/>
    <col min="2" max="2" width="9.140625" style="22"/>
    <col min="3" max="10" width="11.42578125" customWidth="1"/>
  </cols>
  <sheetData>
    <row r="1" spans="1:15" x14ac:dyDescent="0.25">
      <c r="A1" s="26" t="s">
        <v>213</v>
      </c>
      <c r="B1" s="26"/>
      <c r="C1" s="26"/>
      <c r="D1" s="26"/>
      <c r="E1" s="26"/>
      <c r="F1" s="26"/>
      <c r="G1" s="26"/>
      <c r="H1" s="26"/>
      <c r="I1" s="26"/>
      <c r="J1" s="26"/>
    </row>
    <row r="2" spans="1:15" x14ac:dyDescent="0.25">
      <c r="A2" s="14" t="s">
        <v>94</v>
      </c>
      <c r="B2" s="20" t="s">
        <v>95</v>
      </c>
      <c r="C2" s="14">
        <v>1</v>
      </c>
      <c r="D2" s="14">
        <v>2</v>
      </c>
      <c r="E2" s="14">
        <v>3</v>
      </c>
      <c r="F2" s="14">
        <v>4</v>
      </c>
      <c r="G2" s="14">
        <v>5</v>
      </c>
      <c r="H2" s="14">
        <v>6</v>
      </c>
      <c r="I2" s="14">
        <v>7</v>
      </c>
      <c r="J2" s="14">
        <v>8</v>
      </c>
    </row>
    <row r="3" spans="1:15" x14ac:dyDescent="0.25">
      <c r="A3" s="15">
        <v>46171</v>
      </c>
      <c r="B3" s="21">
        <v>0.79166666666666663</v>
      </c>
      <c r="C3" s="16" t="s">
        <v>96</v>
      </c>
      <c r="D3" s="16"/>
      <c r="E3" s="16"/>
      <c r="F3" s="16"/>
      <c r="G3" s="16"/>
      <c r="H3" s="16"/>
      <c r="I3" s="16"/>
      <c r="J3" s="16"/>
    </row>
    <row r="4" spans="1:15" ht="30" x14ac:dyDescent="0.25">
      <c r="A4" s="15">
        <v>46171</v>
      </c>
      <c r="B4" s="21">
        <v>0.80208333333333337</v>
      </c>
      <c r="C4" s="19" t="s">
        <v>147</v>
      </c>
      <c r="D4" s="19" t="s">
        <v>150</v>
      </c>
      <c r="E4" s="19" t="s">
        <v>151</v>
      </c>
      <c r="F4" s="19" t="s">
        <v>152</v>
      </c>
      <c r="G4" s="19" t="s">
        <v>153</v>
      </c>
      <c r="H4" s="19" t="s">
        <v>154</v>
      </c>
      <c r="I4" s="19" t="s">
        <v>176</v>
      </c>
      <c r="J4" s="19" t="s">
        <v>198</v>
      </c>
      <c r="K4" s="1"/>
      <c r="L4" s="1"/>
      <c r="M4" s="1"/>
    </row>
    <row r="5" spans="1:15" ht="30" x14ac:dyDescent="0.25">
      <c r="A5" s="15">
        <v>46171</v>
      </c>
      <c r="B5" s="21">
        <v>0.84375</v>
      </c>
      <c r="C5" s="19" t="s">
        <v>148</v>
      </c>
      <c r="D5" s="19" t="s">
        <v>150</v>
      </c>
      <c r="E5" s="19" t="s">
        <v>151</v>
      </c>
      <c r="F5" s="19" t="s">
        <v>152</v>
      </c>
      <c r="G5" s="19" t="s">
        <v>153</v>
      </c>
      <c r="H5" s="19" t="s">
        <v>154</v>
      </c>
      <c r="I5" s="19" t="s">
        <v>176</v>
      </c>
      <c r="J5" s="19" t="s">
        <v>198</v>
      </c>
      <c r="K5" s="1"/>
      <c r="L5" s="1"/>
      <c r="M5" s="1"/>
      <c r="N5" s="1"/>
      <c r="O5" s="1"/>
    </row>
    <row r="6" spans="1:15" ht="30" x14ac:dyDescent="0.25">
      <c r="A6" s="15">
        <v>46171</v>
      </c>
      <c r="B6" s="21">
        <v>0.88541666666666663</v>
      </c>
      <c r="C6" s="19" t="s">
        <v>149</v>
      </c>
      <c r="D6" s="19" t="s">
        <v>150</v>
      </c>
      <c r="E6" s="19" t="s">
        <v>151</v>
      </c>
      <c r="F6" s="19" t="s">
        <v>152</v>
      </c>
      <c r="G6" s="19" t="s">
        <v>153</v>
      </c>
      <c r="H6" s="19" t="s">
        <v>154</v>
      </c>
      <c r="I6" s="19" t="s">
        <v>176</v>
      </c>
      <c r="J6" s="19" t="s">
        <v>198</v>
      </c>
      <c r="K6" s="1"/>
      <c r="L6" s="1"/>
      <c r="M6" s="1"/>
    </row>
    <row r="7" spans="1:15" ht="45" x14ac:dyDescent="0.25">
      <c r="A7" s="15">
        <v>46171</v>
      </c>
      <c r="B7" s="21">
        <v>0.92708333333333337</v>
      </c>
      <c r="C7" s="19" t="s">
        <v>199</v>
      </c>
      <c r="D7" s="19" t="s">
        <v>200</v>
      </c>
      <c r="E7" s="19" t="s">
        <v>201</v>
      </c>
      <c r="F7" s="19" t="s">
        <v>202</v>
      </c>
      <c r="G7" s="19"/>
      <c r="H7" s="19"/>
      <c r="I7" s="19"/>
      <c r="J7" s="19"/>
      <c r="K7" s="1"/>
      <c r="L7" s="1"/>
    </row>
    <row r="8" spans="1:15" x14ac:dyDescent="0.25">
      <c r="A8" s="27" t="s">
        <v>214</v>
      </c>
      <c r="B8" s="27"/>
      <c r="C8" s="27"/>
      <c r="D8" s="27"/>
      <c r="E8" s="27"/>
      <c r="F8" s="27"/>
      <c r="G8" s="27"/>
      <c r="H8" s="27"/>
      <c r="I8" s="27"/>
      <c r="J8" s="27"/>
      <c r="K8" s="1"/>
    </row>
    <row r="9" spans="1:15" x14ac:dyDescent="0.25">
      <c r="A9" s="15">
        <v>46172</v>
      </c>
      <c r="B9" s="21">
        <v>0.33333333333333331</v>
      </c>
      <c r="C9" s="18" t="s">
        <v>96</v>
      </c>
      <c r="D9" s="18"/>
      <c r="E9" s="18"/>
      <c r="F9" s="18"/>
      <c r="G9" s="18"/>
      <c r="H9" s="18"/>
      <c r="I9" s="18"/>
      <c r="J9" s="18"/>
      <c r="K9" s="1"/>
    </row>
    <row r="10" spans="1:15" ht="45" x14ac:dyDescent="0.25">
      <c r="A10" s="15">
        <v>46172</v>
      </c>
      <c r="B10" s="21">
        <v>0.35416666666666669</v>
      </c>
      <c r="C10" s="19" t="s">
        <v>97</v>
      </c>
      <c r="D10" s="19" t="s">
        <v>99</v>
      </c>
      <c r="E10" s="19" t="s">
        <v>122</v>
      </c>
      <c r="F10" s="19" t="s">
        <v>123</v>
      </c>
      <c r="G10" s="19" t="s">
        <v>124</v>
      </c>
      <c r="H10" s="19" t="s">
        <v>125</v>
      </c>
      <c r="I10" s="19" t="s">
        <v>126</v>
      </c>
      <c r="J10" s="19" t="s">
        <v>205</v>
      </c>
    </row>
    <row r="11" spans="1:15" ht="45" x14ac:dyDescent="0.25">
      <c r="A11" s="15">
        <v>46172</v>
      </c>
      <c r="B11" s="21">
        <v>0.41666666666666669</v>
      </c>
      <c r="C11" s="19" t="s">
        <v>121</v>
      </c>
      <c r="D11" s="19"/>
      <c r="E11" s="19" t="s">
        <v>122</v>
      </c>
      <c r="F11" s="19" t="s">
        <v>123</v>
      </c>
      <c r="G11" s="19" t="s">
        <v>124</v>
      </c>
      <c r="H11" s="19" t="s">
        <v>125</v>
      </c>
      <c r="I11" s="19" t="s">
        <v>126</v>
      </c>
      <c r="J11" s="19" t="s">
        <v>205</v>
      </c>
    </row>
    <row r="12" spans="1:15" ht="39" customHeight="1" x14ac:dyDescent="0.25">
      <c r="A12" s="15">
        <v>46172</v>
      </c>
      <c r="B12" s="21">
        <v>0.47916666666666669</v>
      </c>
      <c r="C12" s="19" t="s">
        <v>204</v>
      </c>
      <c r="D12" s="19" t="s">
        <v>101</v>
      </c>
      <c r="E12" s="19" t="s">
        <v>102</v>
      </c>
      <c r="F12" s="19" t="s">
        <v>103</v>
      </c>
      <c r="G12" s="19" t="s">
        <v>104</v>
      </c>
      <c r="H12" s="19" t="s">
        <v>105</v>
      </c>
      <c r="I12" s="19" t="s">
        <v>106</v>
      </c>
      <c r="J12" s="19" t="s">
        <v>203</v>
      </c>
      <c r="K12" s="1"/>
    </row>
    <row r="13" spans="1:15" ht="30" x14ac:dyDescent="0.25">
      <c r="A13" s="15">
        <v>46172</v>
      </c>
      <c r="B13" s="21">
        <v>0.60416666666666663</v>
      </c>
      <c r="C13" s="19" t="s">
        <v>98</v>
      </c>
      <c r="D13" s="19" t="s">
        <v>100</v>
      </c>
      <c r="E13" s="19" t="s">
        <v>142</v>
      </c>
      <c r="F13" s="19" t="s">
        <v>143</v>
      </c>
      <c r="G13" s="19" t="s">
        <v>143</v>
      </c>
      <c r="H13" s="14"/>
      <c r="I13" s="14"/>
      <c r="J13" s="14"/>
      <c r="K13" s="1"/>
    </row>
    <row r="14" spans="1:15" ht="60" x14ac:dyDescent="0.25">
      <c r="A14" s="15">
        <v>46172</v>
      </c>
      <c r="B14" s="21">
        <v>0.66666666666666663</v>
      </c>
      <c r="C14" s="17" t="s">
        <v>206</v>
      </c>
      <c r="D14" s="17" t="s">
        <v>207</v>
      </c>
      <c r="E14" s="17" t="s">
        <v>208</v>
      </c>
      <c r="F14" s="17" t="s">
        <v>209</v>
      </c>
      <c r="G14" s="17" t="s">
        <v>210</v>
      </c>
      <c r="H14" s="17" t="s">
        <v>211</v>
      </c>
      <c r="I14" s="14"/>
      <c r="J14" s="14"/>
      <c r="K14" s="1"/>
      <c r="L14" s="1"/>
    </row>
    <row r="15" spans="1:15" ht="45" x14ac:dyDescent="0.25">
      <c r="A15" s="15">
        <v>46172</v>
      </c>
      <c r="B15" s="21">
        <v>0.6875</v>
      </c>
      <c r="C15" s="17" t="s">
        <v>212</v>
      </c>
      <c r="D15" s="17" t="s">
        <v>107</v>
      </c>
      <c r="E15" s="17" t="s">
        <v>108</v>
      </c>
      <c r="F15" s="17" t="s">
        <v>109</v>
      </c>
      <c r="G15" s="17" t="s">
        <v>110</v>
      </c>
      <c r="H15" s="17" t="s">
        <v>111</v>
      </c>
      <c r="I15" s="17" t="s">
        <v>112</v>
      </c>
      <c r="J15" s="17" t="s">
        <v>113</v>
      </c>
      <c r="K15" s="1"/>
      <c r="L15" s="1"/>
    </row>
    <row r="16" spans="1:15" ht="60" x14ac:dyDescent="0.25">
      <c r="A16" s="15">
        <v>46172</v>
      </c>
      <c r="B16" s="21">
        <v>0.70833333333333337</v>
      </c>
      <c r="C16" s="17" t="s">
        <v>127</v>
      </c>
      <c r="D16" s="17" t="s">
        <v>128</v>
      </c>
      <c r="E16" s="17" t="s">
        <v>129</v>
      </c>
      <c r="F16" s="17" t="s">
        <v>130</v>
      </c>
      <c r="G16" s="17" t="s">
        <v>131</v>
      </c>
      <c r="H16" s="17" t="s">
        <v>132</v>
      </c>
      <c r="I16" s="17" t="s">
        <v>133</v>
      </c>
      <c r="J16" s="17" t="s">
        <v>134</v>
      </c>
      <c r="K16" s="1"/>
      <c r="L16" s="1"/>
    </row>
    <row r="17" spans="1:15" ht="45" x14ac:dyDescent="0.25">
      <c r="A17" s="15">
        <v>46172</v>
      </c>
      <c r="B17" s="21">
        <v>0.72916666666666663</v>
      </c>
      <c r="C17" s="17" t="s">
        <v>155</v>
      </c>
      <c r="D17" s="17" t="s">
        <v>156</v>
      </c>
      <c r="E17" s="17" t="s">
        <v>157</v>
      </c>
      <c r="F17" s="17" t="s">
        <v>158</v>
      </c>
      <c r="G17" s="17" t="s">
        <v>159</v>
      </c>
      <c r="H17" s="17" t="s">
        <v>160</v>
      </c>
      <c r="I17" s="17" t="s">
        <v>161</v>
      </c>
      <c r="J17" s="17" t="s">
        <v>162</v>
      </c>
      <c r="K17" s="1"/>
      <c r="L17" s="1"/>
    </row>
    <row r="18" spans="1:15" ht="45" x14ac:dyDescent="0.25">
      <c r="A18" s="15">
        <v>46172</v>
      </c>
      <c r="B18" s="21">
        <v>0.75</v>
      </c>
      <c r="C18" s="17" t="s">
        <v>117</v>
      </c>
      <c r="D18" s="17" t="s">
        <v>118</v>
      </c>
      <c r="E18" s="17" t="s">
        <v>119</v>
      </c>
      <c r="F18" s="17" t="s">
        <v>120</v>
      </c>
      <c r="G18" s="14"/>
      <c r="H18" s="14"/>
      <c r="I18" s="14"/>
      <c r="J18" s="14"/>
      <c r="K18" s="1"/>
      <c r="L18" s="1"/>
    </row>
    <row r="19" spans="1:15" ht="60" x14ac:dyDescent="0.25">
      <c r="A19" s="15">
        <v>46172</v>
      </c>
      <c r="B19" s="21">
        <v>0.77083333333333337</v>
      </c>
      <c r="C19" s="17" t="s">
        <v>163</v>
      </c>
      <c r="D19" s="17" t="s">
        <v>164</v>
      </c>
      <c r="E19" s="17" t="s">
        <v>165</v>
      </c>
      <c r="F19" s="17" t="s">
        <v>166</v>
      </c>
      <c r="G19" s="19" t="s">
        <v>135</v>
      </c>
      <c r="H19" s="19" t="s">
        <v>136</v>
      </c>
      <c r="I19" s="19" t="s">
        <v>137</v>
      </c>
      <c r="J19" s="19" t="s">
        <v>138</v>
      </c>
      <c r="K19" s="1"/>
      <c r="L19" s="1"/>
    </row>
    <row r="20" spans="1:15" ht="45" x14ac:dyDescent="0.25">
      <c r="A20" s="15">
        <v>46172</v>
      </c>
      <c r="B20" s="21">
        <v>0.79166666666666663</v>
      </c>
      <c r="C20" s="17" t="s">
        <v>144</v>
      </c>
      <c r="D20" s="17" t="s">
        <v>145</v>
      </c>
      <c r="E20" s="17" t="s">
        <v>115</v>
      </c>
      <c r="F20" s="17" t="s">
        <v>116</v>
      </c>
      <c r="G20" s="19"/>
      <c r="H20" s="19"/>
      <c r="I20" s="19"/>
      <c r="J20" s="19"/>
      <c r="K20" s="1"/>
      <c r="L20" s="1"/>
    </row>
    <row r="21" spans="1:15" ht="45" x14ac:dyDescent="0.25">
      <c r="A21" s="15">
        <v>46172</v>
      </c>
      <c r="B21" s="21">
        <v>0.8125</v>
      </c>
      <c r="C21" s="17" t="s">
        <v>167</v>
      </c>
      <c r="D21" s="17" t="s">
        <v>168</v>
      </c>
      <c r="E21" s="17" t="s">
        <v>139</v>
      </c>
      <c r="F21" s="17" t="s">
        <v>140</v>
      </c>
      <c r="G21" s="19"/>
      <c r="H21" s="19"/>
      <c r="I21" s="19"/>
      <c r="J21" s="19"/>
      <c r="K21" s="1"/>
      <c r="L21" s="1"/>
    </row>
    <row r="22" spans="1:15" ht="30" x14ac:dyDescent="0.25">
      <c r="A22" s="15">
        <v>46172</v>
      </c>
      <c r="B22" s="21">
        <v>0.83333333333333337</v>
      </c>
      <c r="C22" s="17" t="s">
        <v>146</v>
      </c>
      <c r="D22" s="17" t="s">
        <v>114</v>
      </c>
      <c r="E22" s="19"/>
      <c r="F22" s="19"/>
      <c r="G22" s="19"/>
      <c r="H22" s="19"/>
      <c r="I22" s="19"/>
      <c r="J22" s="19"/>
      <c r="K22" s="1"/>
      <c r="L22" s="1"/>
    </row>
    <row r="23" spans="1:15" ht="30" x14ac:dyDescent="0.25">
      <c r="A23" s="15">
        <v>46172</v>
      </c>
      <c r="B23" s="21">
        <v>0.85416666666666663</v>
      </c>
      <c r="C23" s="17" t="s">
        <v>169</v>
      </c>
      <c r="D23" s="17" t="s">
        <v>141</v>
      </c>
      <c r="E23" s="19"/>
      <c r="F23" s="19"/>
      <c r="G23" s="19"/>
      <c r="H23" s="19"/>
      <c r="I23" s="19"/>
      <c r="J23" s="19"/>
      <c r="K23" s="1"/>
      <c r="L23" s="1"/>
    </row>
    <row r="24" spans="1:15" ht="30" customHeight="1" x14ac:dyDescent="0.25">
      <c r="A24" s="15">
        <v>46172</v>
      </c>
      <c r="B24" s="21">
        <v>0.875</v>
      </c>
      <c r="C24" s="18" t="s">
        <v>170</v>
      </c>
      <c r="D24" s="18"/>
      <c r="E24" s="18"/>
      <c r="F24" s="18"/>
      <c r="G24" s="18"/>
      <c r="H24" s="18"/>
      <c r="I24" s="18"/>
      <c r="J24" s="18"/>
      <c r="K24" s="1"/>
      <c r="L24" s="1"/>
      <c r="M24" s="1"/>
      <c r="N24" s="1"/>
      <c r="O24" s="1"/>
    </row>
    <row r="25" spans="1:15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</row>
    <row r="26" spans="1:15" x14ac:dyDescent="0.25">
      <c r="C26" s="1"/>
      <c r="D26" s="1"/>
      <c r="E26" s="1"/>
      <c r="F26" s="1"/>
      <c r="G26" s="1"/>
      <c r="H26" s="1"/>
      <c r="I26" s="1"/>
      <c r="J26" s="1"/>
    </row>
    <row r="27" spans="1:15" x14ac:dyDescent="0.25">
      <c r="C27" s="1"/>
      <c r="D27" s="1"/>
      <c r="E27" s="1"/>
      <c r="F27" s="1"/>
      <c r="G27" s="1"/>
      <c r="H27" s="1"/>
      <c r="I27" s="1"/>
      <c r="J27" s="1"/>
    </row>
    <row r="28" spans="1:15" x14ac:dyDescent="0.25">
      <c r="C28" s="1"/>
      <c r="D28" s="1"/>
      <c r="E28" s="1"/>
      <c r="F28" s="1"/>
      <c r="G28" s="1"/>
      <c r="H28" s="1"/>
      <c r="I28" s="1"/>
      <c r="J28" s="1"/>
    </row>
    <row r="29" spans="1:15" x14ac:dyDescent="0.25">
      <c r="C29" s="1"/>
      <c r="D29" s="1"/>
      <c r="E29" s="1"/>
      <c r="F29" s="1"/>
      <c r="G29" s="1"/>
      <c r="H29" s="1"/>
      <c r="I29" s="1"/>
      <c r="J29" s="1"/>
    </row>
    <row r="30" spans="1:15" x14ac:dyDescent="0.25">
      <c r="C30" s="1"/>
      <c r="D30" s="1"/>
      <c r="E30" s="1"/>
      <c r="F30" s="1"/>
      <c r="G30" s="1"/>
      <c r="H30" s="1"/>
      <c r="I30" s="1"/>
      <c r="J30" s="1"/>
    </row>
    <row r="31" spans="1:15" x14ac:dyDescent="0.25">
      <c r="C31" s="1"/>
      <c r="D31" s="1"/>
      <c r="E31" s="1"/>
      <c r="F31" s="1"/>
      <c r="G31" s="1"/>
      <c r="H31" s="1"/>
      <c r="I31" s="1"/>
      <c r="J31" s="1"/>
    </row>
  </sheetData>
  <mergeCells count="5">
    <mergeCell ref="A1:J1"/>
    <mergeCell ref="A8:J8"/>
    <mergeCell ref="C3:J3"/>
    <mergeCell ref="C9:J9"/>
    <mergeCell ref="C24:J24"/>
  </mergeCells>
  <phoneticPr fontId="1" type="noConversion"/>
  <conditionalFormatting sqref="C9:J11 C12:C13 G17:J17 C17:F18 C19:J23 D12:J12 D13:G13 C15:J16 C14:H14 C4:J7">
    <cfRule type="containsText" dxfId="3" priority="1" operator="containsText" text="5th">
      <formula>NOT(ISERROR(SEARCH("5th",C4)))</formula>
    </cfRule>
    <cfRule type="containsText" dxfId="2" priority="2" operator="containsText" text="2nd">
      <formula>NOT(ISERROR(SEARCH("2nd",C4)))</formula>
    </cfRule>
    <cfRule type="containsText" dxfId="1" priority="3" operator="containsText" text="Ladies">
      <formula>NOT(ISERROR(SEARCH("Ladies",C4)))</formula>
    </cfRule>
    <cfRule type="containsText" dxfId="0" priority="4" operator="containsText" text="Gentlmen's">
      <formula>NOT(ISERROR(SEARCH("Gentlmen's",C4)))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cp:lastPrinted>2026-05-25T14:13:01Z</cp:lastPrinted>
  <dcterms:created xsi:type="dcterms:W3CDTF">2026-05-25T07:46:51Z</dcterms:created>
  <dcterms:modified xsi:type="dcterms:W3CDTF">2026-05-26T18:42:52Z</dcterms:modified>
</cp:coreProperties>
</file>