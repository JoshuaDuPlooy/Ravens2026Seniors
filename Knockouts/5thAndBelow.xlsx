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Ravens Seniors\Knockouts\"/>
    </mc:Choice>
  </mc:AlternateContent>
  <xr:revisionPtr revIDLastSave="0" documentId="13_ncr:1_{0CC7C137-5301-4750-9B23-F21F034F7CE2}" xr6:coauthVersionLast="47" xr6:coauthVersionMax="47" xr10:uidLastSave="{00000000-0000-0000-0000-000000000000}"/>
  <bookViews>
    <workbookView xWindow="-120" yWindow="-120" windowWidth="19440" windowHeight="10320" activeTab="1" xr2:uid="{6F46E828-8FFD-4531-838C-1A16471CA10A}"/>
  </bookViews>
  <sheets>
    <sheet name="Knockout Matches" sheetId="1" r:id="rId1"/>
    <sheet name="Knockout Gr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 a="1"/>
  <c r="G32" i="1" s="1"/>
  <c r="D32" i="1" a="1"/>
  <c r="D32" i="1" s="1"/>
  <c r="G31" i="1" a="1"/>
  <c r="G31" i="1" s="1"/>
  <c r="G30" i="1" a="1"/>
  <c r="G30" i="1" s="1"/>
  <c r="D31" i="1" a="1"/>
  <c r="D31" i="1" s="1"/>
  <c r="D30" i="1" a="1"/>
  <c r="D30" i="1" s="1"/>
  <c r="G29" i="1" a="1"/>
  <c r="G29" i="1" s="1"/>
  <c r="D29" i="1" a="1"/>
  <c r="D29" i="1" s="1"/>
  <c r="G26" i="1" a="1"/>
  <c r="G26" i="1" s="1"/>
  <c r="D27" i="1" a="1"/>
  <c r="D27" i="1" s="1"/>
  <c r="G27" i="1" a="1"/>
  <c r="G27" i="1" s="1"/>
  <c r="D28" i="1" a="1"/>
  <c r="D28" i="1" s="1"/>
  <c r="G28" i="1" a="1"/>
  <c r="G28" i="1" s="1"/>
  <c r="D26" i="1" a="1"/>
  <c r="D26" i="1" s="1"/>
  <c r="D25" i="1" a="1"/>
  <c r="D25" i="1" s="1"/>
  <c r="G25" i="1" a="1"/>
  <c r="G25" i="1" s="1"/>
  <c r="D23" i="1" a="1"/>
  <c r="D23" i="1" s="1"/>
  <c r="G23" i="1" a="1"/>
  <c r="G23" i="1" s="1"/>
  <c r="D24" i="1" a="1"/>
  <c r="D24" i="1" s="1"/>
  <c r="G24" i="1" a="1"/>
  <c r="G24" i="1" s="1"/>
  <c r="G18" i="1" a="1"/>
  <c r="G18" i="1" s="1"/>
  <c r="D19" i="1" a="1"/>
  <c r="D19" i="1" s="1"/>
  <c r="G19" i="1" a="1"/>
  <c r="G19" i="1" s="1"/>
  <c r="D20" i="1" a="1"/>
  <c r="D20" i="1" s="1"/>
  <c r="G20" i="1" a="1"/>
  <c r="G20" i="1" s="1"/>
  <c r="D21" i="1" a="1"/>
  <c r="D21" i="1" s="1"/>
  <c r="G21" i="1" a="1"/>
  <c r="G21" i="1" s="1"/>
  <c r="D22" i="1" a="1"/>
  <c r="D22" i="1" s="1"/>
  <c r="G22" i="1" a="1"/>
  <c r="G22" i="1" s="1"/>
  <c r="D18" i="1" a="1"/>
  <c r="D18" i="1" s="1"/>
  <c r="D17" i="1" a="1"/>
  <c r="D17" i="1" s="1"/>
  <c r="G17" i="1" a="1"/>
  <c r="G17" i="1" s="1"/>
  <c r="D16" i="1" a="1"/>
  <c r="D16" i="1" s="1"/>
  <c r="G16" i="1" a="1"/>
  <c r="G16" i="1" s="1"/>
  <c r="D10" i="1" a="1"/>
  <c r="D10" i="1" s="1"/>
  <c r="G10" i="1" a="1"/>
  <c r="G10" i="1" s="1"/>
  <c r="D11" i="1" a="1"/>
  <c r="D11" i="1" s="1"/>
  <c r="G11" i="1" a="1"/>
  <c r="G11" i="1" s="1"/>
  <c r="D12" i="1" a="1"/>
  <c r="D12" i="1" s="1"/>
  <c r="G12" i="1" a="1"/>
  <c r="G12" i="1" s="1"/>
  <c r="D13" i="1" a="1"/>
  <c r="D13" i="1" s="1"/>
  <c r="G13" i="1" a="1"/>
  <c r="G13" i="1" s="1"/>
  <c r="D14" i="1" a="1"/>
  <c r="D14" i="1" s="1"/>
  <c r="G14" i="1" a="1"/>
  <c r="G14" i="1" s="1"/>
  <c r="D15" i="1" a="1"/>
  <c r="D15" i="1" s="1"/>
  <c r="G15" i="1" a="1"/>
  <c r="G15" i="1" s="1"/>
  <c r="D6" i="1" a="1"/>
  <c r="D6" i="1" s="1"/>
  <c r="G6" i="1" a="1"/>
  <c r="G6" i="1" s="1"/>
  <c r="D7" i="1" a="1"/>
  <c r="D7" i="1" s="1"/>
  <c r="G7" i="1" a="1"/>
  <c r="G7" i="1" s="1"/>
  <c r="D8" i="1" a="1"/>
  <c r="D8" i="1" s="1"/>
  <c r="G8" i="1" a="1"/>
  <c r="G8" i="1" s="1"/>
  <c r="D9" i="1" a="1"/>
  <c r="D9" i="1" s="1"/>
  <c r="G9" i="1" a="1"/>
  <c r="G9" i="1" s="1"/>
  <c r="G2" i="1" a="1"/>
  <c r="G2" i="1" s="1"/>
  <c r="D3" i="1" a="1"/>
  <c r="D3" i="1" s="1"/>
  <c r="G3" i="1" a="1"/>
  <c r="G3" i="1" s="1"/>
  <c r="D4" i="1" a="1"/>
  <c r="D4" i="1" s="1"/>
  <c r="G4" i="1" a="1"/>
  <c r="G4" i="1" s="1"/>
  <c r="D5" i="1" a="1"/>
  <c r="D5" i="1" s="1"/>
  <c r="G5" i="1" a="1"/>
  <c r="G5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<sst xmlns="http://schemas.openxmlformats.org/spreadsheetml/2006/main" count="130" uniqueCount="49">
  <si>
    <t>Match</t>
  </si>
  <si>
    <t>Round</t>
  </si>
  <si>
    <t>id</t>
  </si>
  <si>
    <t>Name 1</t>
  </si>
  <si>
    <t>Club 1</t>
  </si>
  <si>
    <t>Name 2</t>
  </si>
  <si>
    <t>Club 2</t>
  </si>
  <si>
    <t>Score 1</t>
  </si>
  <si>
    <t>Score 2</t>
  </si>
  <si>
    <t>Q</t>
  </si>
  <si>
    <t>S</t>
  </si>
  <si>
    <t>F</t>
  </si>
  <si>
    <t>Bye</t>
  </si>
  <si>
    <t>G1W</t>
  </si>
  <si>
    <t>G2W</t>
  </si>
  <si>
    <t>bye</t>
  </si>
  <si>
    <t>RAVENS TTC SENIER TOURNAMENT 2026</t>
  </si>
  <si>
    <t>Round 32</t>
  </si>
  <si>
    <t>Round 16</t>
  </si>
  <si>
    <t>Quarter Finals</t>
  </si>
  <si>
    <t>Semi Finals</t>
  </si>
  <si>
    <t>Finals</t>
  </si>
  <si>
    <t>5TH &amp; BELOW</t>
  </si>
  <si>
    <t>Saturday</t>
  </si>
  <si>
    <t>G2R</t>
  </si>
  <si>
    <t>G1R</t>
  </si>
  <si>
    <t>Day</t>
  </si>
  <si>
    <t>Date</t>
  </si>
  <si>
    <t>Time</t>
  </si>
  <si>
    <t>Table</t>
  </si>
  <si>
    <t>Shakeel Hendricks</t>
  </si>
  <si>
    <t>Goodwood</t>
  </si>
  <si>
    <t>Jyante Jacobs</t>
  </si>
  <si>
    <t>Ravens</t>
  </si>
  <si>
    <t>Angeline Wood</t>
  </si>
  <si>
    <t xml:space="preserve">Mujaid Hoffman </t>
  </si>
  <si>
    <t>Community House</t>
  </si>
  <si>
    <t>Andre Taljaard</t>
  </si>
  <si>
    <t>Yusuf Ebrahim</t>
  </si>
  <si>
    <t>Gideon Stompies</t>
  </si>
  <si>
    <t>Sabri De Sani</t>
  </si>
  <si>
    <t>NEXUS</t>
  </si>
  <si>
    <t xml:space="preserve">Scelo Mkhetho </t>
  </si>
  <si>
    <t>CPUT</t>
  </si>
  <si>
    <t>Enrico Louw</t>
  </si>
  <si>
    <t>Lawrence Omadeli</t>
  </si>
  <si>
    <t>Pedro Fortuin</t>
  </si>
  <si>
    <t>Jihaan Jacobs</t>
  </si>
  <si>
    <t>Felix 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</si>
</sst>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16" fontId="0" fillId="0" borderId="0" xfId="0" applyNumberFormat="1"/>
    <xf numFmtId="20" fontId="0" fillId="0" borderId="0" xfId="0" applyNumberFormat="1"/>
    <xf numFmtId="0" fontId="2" fillId="0" borderId="6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9" xfId="0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2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4462-2C62-4CBE-957E-8C9D3A03D512}">
  <dimension ref="A1:M32"/>
  <sheetViews>
    <sheetView workbookViewId="0">
      <selection activeCell="O25" sqref="O25"/>
    </sheetView>
  </sheetViews>
  <sheetFormatPr defaultRowHeight="15" x14ac:dyDescent="0.25"/>
  <sheetData>
    <row r="1" spans="1:1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t="s">
        <v>8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5">
      <c r="A2">
        <v>1</v>
      </c>
      <c r="B2">
        <v>1</v>
      </c>
      <c r="C2">
        <v>32</v>
      </c>
      <c r="D2" t="str" cm="1">
        <f t="array" ref="D2:F2">'Knockout Grid'!A5:C5</f>
        <v>G1W</v>
      </c>
      <c r="E2">
        <v>0</v>
      </c>
      <c r="F2">
        <v>0</v>
      </c>
      <c r="G2" t="str" cm="1">
        <f t="array" ref="G2:I2">'Knockout Grid'!A6:C6</f>
        <v>bye</v>
      </c>
      <c r="H2">
        <v>0</v>
      </c>
      <c r="I2">
        <v>0</v>
      </c>
    </row>
    <row r="3" spans="1:13" x14ac:dyDescent="0.25">
      <c r="A3">
        <v>2</v>
      </c>
      <c r="B3">
        <v>2</v>
      </c>
      <c r="C3">
        <v>32</v>
      </c>
      <c r="D3" t="str" cm="1">
        <f t="array" ref="D3:F3">'Knockout Grid'!A9:C9</f>
        <v>bye</v>
      </c>
      <c r="E3">
        <v>0</v>
      </c>
      <c r="F3">
        <v>0</v>
      </c>
      <c r="G3" t="str" cm="1">
        <f t="array" ref="G3:I3">'Knockout Grid'!A10:C10</f>
        <v>G2R</v>
      </c>
      <c r="H3">
        <v>0</v>
      </c>
      <c r="I3">
        <v>0</v>
      </c>
    </row>
    <row r="4" spans="1:13" x14ac:dyDescent="0.25">
      <c r="A4">
        <v>3</v>
      </c>
      <c r="B4">
        <v>3</v>
      </c>
      <c r="C4">
        <v>32</v>
      </c>
      <c r="D4" t="str" cm="1">
        <f t="array" ref="D4:F4">'Knockout Grid'!A13:C13</f>
        <v>Yusuf Ebrahim</v>
      </c>
      <c r="E4" t="str">
        <v>Community House</v>
      </c>
      <c r="F4">
        <v>0</v>
      </c>
      <c r="G4" t="str" cm="1">
        <f t="array" ref="G4:I4">'Knockout Grid'!A14:C14</f>
        <v>bye</v>
      </c>
      <c r="H4">
        <v>0</v>
      </c>
      <c r="I4">
        <v>0</v>
      </c>
    </row>
    <row r="5" spans="1:13" x14ac:dyDescent="0.25">
      <c r="A5">
        <v>4</v>
      </c>
      <c r="B5">
        <v>4</v>
      </c>
      <c r="C5">
        <v>32</v>
      </c>
      <c r="D5" t="str" cm="1">
        <f t="array" ref="D5:F5">'Knockout Grid'!A17:C17</f>
        <v>bye</v>
      </c>
      <c r="E5">
        <v>0</v>
      </c>
      <c r="F5">
        <v>0</v>
      </c>
      <c r="G5" t="str" cm="1">
        <f t="array" ref="G5:I5">'Knockout Grid'!A18:C18</f>
        <v>Lawrence Omadeli</v>
      </c>
      <c r="H5" t="str">
        <v>Community House</v>
      </c>
      <c r="I5">
        <v>0</v>
      </c>
    </row>
    <row r="6" spans="1:13" x14ac:dyDescent="0.25">
      <c r="A6">
        <v>5</v>
      </c>
      <c r="B6">
        <v>5</v>
      </c>
      <c r="C6">
        <v>32</v>
      </c>
      <c r="D6" t="str" cm="1">
        <f t="array" ref="D6:F6">'Knockout Grid'!A21:C21</f>
        <v>Gideon Stompies</v>
      </c>
      <c r="E6" t="str">
        <v>Ravens</v>
      </c>
      <c r="F6">
        <v>0</v>
      </c>
      <c r="G6" t="str" cm="1">
        <f t="array" ref="G6:I6">'Knockout Grid'!A22:C22</f>
        <v>bye</v>
      </c>
      <c r="H6">
        <v>0</v>
      </c>
      <c r="I6">
        <v>0</v>
      </c>
    </row>
    <row r="7" spans="1:13" x14ac:dyDescent="0.25">
      <c r="A7">
        <v>6</v>
      </c>
      <c r="B7">
        <v>6</v>
      </c>
      <c r="C7">
        <v>32</v>
      </c>
      <c r="D7" cm="1">
        <f t="array" ref="D7:F7">'Knockout Grid'!A25:C25</f>
        <v>0</v>
      </c>
      <c r="E7">
        <v>0</v>
      </c>
      <c r="F7">
        <v>0</v>
      </c>
      <c r="G7" t="str" cm="1">
        <f t="array" ref="G7:I7">'Knockout Grid'!A26:C26</f>
        <v xml:space="preserve">Mujaid Hoffman </v>
      </c>
      <c r="H7" t="str">
        <v>Community House</v>
      </c>
      <c r="I7">
        <v>0</v>
      </c>
    </row>
    <row r="8" spans="1:13" x14ac:dyDescent="0.25">
      <c r="A8">
        <v>7</v>
      </c>
      <c r="B8">
        <v>7</v>
      </c>
      <c r="C8">
        <v>32</v>
      </c>
      <c r="D8" t="str" cm="1">
        <f t="array" ref="D8:F8">'Knockout Grid'!A29:C29</f>
        <v>Enrico Louw</v>
      </c>
      <c r="E8" t="str">
        <v>Goodwood</v>
      </c>
      <c r="F8">
        <v>0</v>
      </c>
      <c r="G8" t="str" cm="1">
        <f t="array" ref="G8:I8">'Knockout Grid'!A30:C30</f>
        <v>Felix Monday</v>
      </c>
      <c r="H8" t="str">
        <v>Community House</v>
      </c>
      <c r="I8">
        <v>0</v>
      </c>
      <c r="J8" s="6" t="s">
        <v>23</v>
      </c>
      <c r="K8" s="12">
        <v>46172</v>
      </c>
      <c r="L8" s="13">
        <v>0.625</v>
      </c>
      <c r="M8">
        <v>1</v>
      </c>
    </row>
    <row r="9" spans="1:13" x14ac:dyDescent="0.25">
      <c r="A9">
        <v>8</v>
      </c>
      <c r="B9">
        <v>8</v>
      </c>
      <c r="C9">
        <v>32</v>
      </c>
      <c r="D9" t="str" cm="1">
        <f t="array" ref="D9:F9">'Knockout Grid'!A33:C33</f>
        <v>bye</v>
      </c>
      <c r="E9">
        <v>0</v>
      </c>
      <c r="F9">
        <v>0</v>
      </c>
      <c r="G9" t="str" cm="1">
        <f t="array" ref="G9:I9">'Knockout Grid'!A34:C34</f>
        <v>Shakeel Hendricks</v>
      </c>
      <c r="H9" t="str">
        <v>Goodwood</v>
      </c>
      <c r="I9">
        <v>0</v>
      </c>
    </row>
    <row r="10" spans="1:13" x14ac:dyDescent="0.25">
      <c r="A10">
        <v>9</v>
      </c>
      <c r="B10">
        <v>9</v>
      </c>
      <c r="C10">
        <v>32</v>
      </c>
      <c r="D10" t="str" cm="1">
        <f t="array" ref="D10:F10">'Knockout Grid'!A37:C37</f>
        <v>Angeline Wood</v>
      </c>
      <c r="E10" t="str">
        <v>Ravens</v>
      </c>
      <c r="F10">
        <v>0</v>
      </c>
      <c r="G10" t="str" cm="1">
        <f t="array" ref="G10:I10">'Knockout Grid'!A38:C38</f>
        <v>bye</v>
      </c>
      <c r="H10">
        <v>0</v>
      </c>
      <c r="I10">
        <v>0</v>
      </c>
    </row>
    <row r="11" spans="1:13" x14ac:dyDescent="0.25">
      <c r="A11">
        <v>10</v>
      </c>
      <c r="B11">
        <v>10</v>
      </c>
      <c r="C11">
        <v>32</v>
      </c>
      <c r="D11" t="str" cm="1">
        <f t="array" ref="D11:F11">'Knockout Grid'!A41:C41</f>
        <v>bye</v>
      </c>
      <c r="E11">
        <v>0</v>
      </c>
      <c r="F11">
        <v>0</v>
      </c>
      <c r="G11" t="str" cm="1">
        <f t="array" ref="G11:I11">'Knockout Grid'!A42:C42</f>
        <v>Jihaan Jacobs</v>
      </c>
      <c r="H11" t="str">
        <v>Ravens</v>
      </c>
      <c r="I11">
        <v>0</v>
      </c>
    </row>
    <row r="12" spans="1:13" x14ac:dyDescent="0.25">
      <c r="A12">
        <v>11</v>
      </c>
      <c r="B12">
        <v>11</v>
      </c>
      <c r="C12">
        <v>32</v>
      </c>
      <c r="D12" t="str" cm="1">
        <f t="array" ref="D12:F12">'Knockout Grid'!A45:C45</f>
        <v>Sabri De Sani</v>
      </c>
      <c r="E12" t="str">
        <v>NEXUS</v>
      </c>
      <c r="F12">
        <v>0</v>
      </c>
      <c r="G12" cm="1">
        <f t="array" ref="G12:I12">'Knockout Grid'!A46:C46</f>
        <v>0</v>
      </c>
      <c r="H12">
        <v>0</v>
      </c>
      <c r="I12">
        <v>0</v>
      </c>
    </row>
    <row r="13" spans="1:13" x14ac:dyDescent="0.25">
      <c r="A13">
        <v>12</v>
      </c>
      <c r="B13">
        <v>12</v>
      </c>
      <c r="C13">
        <v>32</v>
      </c>
      <c r="D13" t="str" cm="1">
        <f t="array" ref="D13:F13">'Knockout Grid'!A49:C49</f>
        <v>bye</v>
      </c>
      <c r="E13">
        <v>0</v>
      </c>
      <c r="F13">
        <v>0</v>
      </c>
      <c r="G13" t="str" cm="1">
        <f t="array" ref="G13:I13">'Knockout Grid'!A50:C50</f>
        <v xml:space="preserve">Scelo Mkhetho </v>
      </c>
      <c r="H13" t="str">
        <v>CPUT</v>
      </c>
      <c r="I13">
        <v>0</v>
      </c>
    </row>
    <row r="14" spans="1:13" x14ac:dyDescent="0.25">
      <c r="A14">
        <v>13</v>
      </c>
      <c r="B14">
        <v>13</v>
      </c>
      <c r="C14">
        <v>32</v>
      </c>
      <c r="D14" t="str" cm="1">
        <f t="array" ref="D14:F14">'Knockout Grid'!A53:C53</f>
        <v>Andre Taljaard</v>
      </c>
      <c r="E14" t="str">
        <v>Goodwood</v>
      </c>
      <c r="F14">
        <v>0</v>
      </c>
      <c r="G14" t="str" cm="1">
        <f t="array" ref="G14:I14">'Knockout Grid'!A54:C54</f>
        <v>bye</v>
      </c>
      <c r="H14">
        <v>0</v>
      </c>
      <c r="I14">
        <v>0</v>
      </c>
    </row>
    <row r="15" spans="1:13" x14ac:dyDescent="0.25">
      <c r="A15">
        <v>14</v>
      </c>
      <c r="B15">
        <v>14</v>
      </c>
      <c r="C15">
        <v>32</v>
      </c>
      <c r="D15" t="str" cm="1">
        <f t="array" ref="D15:F15">'Knockout Grid'!A57:C57</f>
        <v>bye</v>
      </c>
      <c r="E15">
        <v>0</v>
      </c>
      <c r="F15">
        <v>0</v>
      </c>
      <c r="G15" t="str" cm="1">
        <f t="array" ref="G15:I15">'Knockout Grid'!A58:C58</f>
        <v>Jyante Jacobs</v>
      </c>
      <c r="H15" t="str">
        <v>Ravens</v>
      </c>
      <c r="I15">
        <v>0</v>
      </c>
    </row>
    <row r="16" spans="1:13" x14ac:dyDescent="0.25">
      <c r="A16">
        <v>15</v>
      </c>
      <c r="B16">
        <v>15</v>
      </c>
      <c r="C16">
        <v>32</v>
      </c>
      <c r="D16" t="str" cm="1">
        <f t="array" ref="D16:F16">'Knockout Grid'!A61:C61</f>
        <v>G1R</v>
      </c>
      <c r="E16">
        <v>0</v>
      </c>
      <c r="F16">
        <v>0</v>
      </c>
      <c r="G16" t="str" cm="1">
        <f t="array" ref="G16:I16">'Knockout Grid'!A62:C62</f>
        <v>Pedro Fortuin</v>
      </c>
      <c r="H16" t="str">
        <v>Goodwood</v>
      </c>
      <c r="I16">
        <v>0</v>
      </c>
      <c r="J16" s="6" t="s">
        <v>23</v>
      </c>
      <c r="K16" s="12">
        <v>46172</v>
      </c>
      <c r="L16" s="13">
        <v>0.625</v>
      </c>
      <c r="M16">
        <v>2</v>
      </c>
    </row>
    <row r="17" spans="1:13" x14ac:dyDescent="0.25">
      <c r="A17">
        <v>16</v>
      </c>
      <c r="B17">
        <v>16</v>
      </c>
      <c r="C17">
        <v>32</v>
      </c>
      <c r="D17" t="str" cm="1">
        <f t="array" ref="D17:F17">'Knockout Grid'!A65:C65</f>
        <v>Bye</v>
      </c>
      <c r="E17">
        <v>0</v>
      </c>
      <c r="F17">
        <v>0</v>
      </c>
      <c r="G17" t="str" cm="1">
        <f t="array" ref="G17:I17">'Knockout Grid'!A66:C66</f>
        <v>G2W</v>
      </c>
      <c r="H17">
        <v>0</v>
      </c>
      <c r="I17">
        <v>0</v>
      </c>
    </row>
    <row r="18" spans="1:13" x14ac:dyDescent="0.25">
      <c r="A18">
        <v>17</v>
      </c>
      <c r="B18">
        <v>1</v>
      </c>
      <c r="C18">
        <v>16</v>
      </c>
      <c r="D18" cm="1">
        <f t="array" ref="D18:F18">'Knockout Grid'!F7:H7</f>
        <v>0</v>
      </c>
      <c r="E18">
        <v>0</v>
      </c>
      <c r="F18">
        <v>0</v>
      </c>
      <c r="G18" cm="1">
        <f t="array" ref="G18:I18">'Knockout Grid'!F8:H8</f>
        <v>0</v>
      </c>
      <c r="H18">
        <v>0</v>
      </c>
      <c r="I18">
        <v>0</v>
      </c>
      <c r="J18" s="6" t="s">
        <v>23</v>
      </c>
      <c r="K18" s="12">
        <v>46172</v>
      </c>
      <c r="L18" s="13">
        <v>0.64583333333333337</v>
      </c>
      <c r="M18">
        <v>1</v>
      </c>
    </row>
    <row r="19" spans="1:13" x14ac:dyDescent="0.25">
      <c r="A19">
        <v>18</v>
      </c>
      <c r="B19">
        <v>2</v>
      </c>
      <c r="C19">
        <v>16</v>
      </c>
      <c r="D19" t="str" cm="1">
        <f t="array" ref="D19:F19">'Knockout Grid'!F15:H15</f>
        <v>Yusuf Ebrahim</v>
      </c>
      <c r="E19" t="str">
        <v>Community House</v>
      </c>
      <c r="F19">
        <v>0</v>
      </c>
      <c r="G19" t="str" cm="1">
        <f t="array" ref="G19:I19">'Knockout Grid'!F16:H16</f>
        <v>Lawrence Omadeli</v>
      </c>
      <c r="H19" t="str">
        <v>Community House</v>
      </c>
      <c r="I19">
        <v>0</v>
      </c>
      <c r="J19" s="6" t="s">
        <v>23</v>
      </c>
      <c r="K19" s="12">
        <v>46172</v>
      </c>
      <c r="L19" s="13">
        <v>0.64583333333333337</v>
      </c>
      <c r="M19">
        <v>2</v>
      </c>
    </row>
    <row r="20" spans="1:13" x14ac:dyDescent="0.25">
      <c r="A20">
        <v>19</v>
      </c>
      <c r="B20">
        <v>3</v>
      </c>
      <c r="C20">
        <v>16</v>
      </c>
      <c r="D20" t="str" cm="1">
        <f t="array" ref="D20:F20">'Knockout Grid'!F23:H23</f>
        <v>Gideon Stompies</v>
      </c>
      <c r="E20" t="str">
        <v>Ravens</v>
      </c>
      <c r="F20">
        <v>0</v>
      </c>
      <c r="G20" t="str" cm="1">
        <f t="array" ref="G20:I20">'Knockout Grid'!F24:H24</f>
        <v xml:space="preserve">Mujaid Hoffman </v>
      </c>
      <c r="H20" t="str">
        <v>Community House</v>
      </c>
      <c r="I20">
        <v>0</v>
      </c>
      <c r="J20" s="6" t="s">
        <v>23</v>
      </c>
      <c r="K20" s="12">
        <v>46172</v>
      </c>
      <c r="L20" s="13">
        <v>0.64583333333333337</v>
      </c>
      <c r="M20">
        <v>3</v>
      </c>
    </row>
    <row r="21" spans="1:13" x14ac:dyDescent="0.25">
      <c r="A21">
        <v>20</v>
      </c>
      <c r="B21">
        <v>4</v>
      </c>
      <c r="C21">
        <v>16</v>
      </c>
      <c r="D21" cm="1">
        <f t="array" ref="D21:F21">'Knockout Grid'!F31:H31</f>
        <v>0</v>
      </c>
      <c r="E21">
        <v>0</v>
      </c>
      <c r="F21">
        <v>0</v>
      </c>
      <c r="G21" t="str" cm="1">
        <f t="array" ref="G21:I21">'Knockout Grid'!F32:H32</f>
        <v>Shakeel Hendricks</v>
      </c>
      <c r="H21" t="str">
        <v>Goodwood</v>
      </c>
      <c r="I21">
        <v>0</v>
      </c>
      <c r="J21" s="6" t="s">
        <v>23</v>
      </c>
      <c r="K21" s="12">
        <v>46172</v>
      </c>
      <c r="L21" s="13">
        <v>0.64583333333333337</v>
      </c>
      <c r="M21">
        <v>4</v>
      </c>
    </row>
    <row r="22" spans="1:13" x14ac:dyDescent="0.25">
      <c r="A22">
        <v>21</v>
      </c>
      <c r="B22">
        <v>5</v>
      </c>
      <c r="C22">
        <v>16</v>
      </c>
      <c r="D22" t="str" cm="1">
        <f t="array" ref="D22:F22">'Knockout Grid'!F39:H39</f>
        <v>Angeline Wood</v>
      </c>
      <c r="E22" t="str">
        <v>Ravens</v>
      </c>
      <c r="F22">
        <v>0</v>
      </c>
      <c r="G22" cm="1">
        <f t="array" ref="G22:I22">'Knockout Grid'!F40:H40</f>
        <v>0</v>
      </c>
      <c r="H22">
        <v>0</v>
      </c>
      <c r="I22">
        <v>0</v>
      </c>
      <c r="J22" s="6" t="s">
        <v>23</v>
      </c>
      <c r="K22" s="12">
        <v>46172</v>
      </c>
      <c r="L22" s="13">
        <v>0.64583333333333337</v>
      </c>
      <c r="M22">
        <v>5</v>
      </c>
    </row>
    <row r="23" spans="1:13" x14ac:dyDescent="0.25">
      <c r="A23">
        <v>22</v>
      </c>
      <c r="B23">
        <v>6</v>
      </c>
      <c r="C23">
        <v>16</v>
      </c>
      <c r="D23" t="str" cm="1">
        <f t="array" ref="D23:F23">'Knockout Grid'!F47:H47</f>
        <v>Sabri De Sani</v>
      </c>
      <c r="E23" t="str">
        <v>NEXUS</v>
      </c>
      <c r="F23">
        <v>0</v>
      </c>
      <c r="G23" t="str" cm="1">
        <f t="array" ref="G23:I23">'Knockout Grid'!F48:H48</f>
        <v xml:space="preserve">Scelo Mkhetho </v>
      </c>
      <c r="H23" t="str">
        <v>CPUT</v>
      </c>
      <c r="I23">
        <v>0</v>
      </c>
      <c r="J23" s="6" t="s">
        <v>23</v>
      </c>
      <c r="K23" s="12">
        <v>46172</v>
      </c>
      <c r="L23" s="13">
        <v>0.64583333333333337</v>
      </c>
      <c r="M23">
        <v>6</v>
      </c>
    </row>
    <row r="24" spans="1:13" x14ac:dyDescent="0.25">
      <c r="A24">
        <v>23</v>
      </c>
      <c r="B24">
        <v>7</v>
      </c>
      <c r="C24">
        <v>16</v>
      </c>
      <c r="D24" t="str" cm="1">
        <f t="array" ref="D24:F24">'Knockout Grid'!F55:H55</f>
        <v>Andre Taljaard</v>
      </c>
      <c r="E24" t="str">
        <v>Goodwood</v>
      </c>
      <c r="F24">
        <v>0</v>
      </c>
      <c r="G24" t="str" cm="1">
        <f t="array" ref="G24:I24">'Knockout Grid'!F56:H56</f>
        <v>Jyante Jacobs</v>
      </c>
      <c r="H24" t="str">
        <v>Ravens</v>
      </c>
      <c r="I24">
        <v>0</v>
      </c>
      <c r="J24" s="6" t="s">
        <v>23</v>
      </c>
      <c r="K24" s="12">
        <v>46172</v>
      </c>
      <c r="L24" s="13">
        <v>0.64583333333333337</v>
      </c>
      <c r="M24">
        <v>7</v>
      </c>
    </row>
    <row r="25" spans="1:13" x14ac:dyDescent="0.25">
      <c r="A25">
        <v>24</v>
      </c>
      <c r="B25">
        <v>8</v>
      </c>
      <c r="C25">
        <v>16</v>
      </c>
      <c r="D25" cm="1">
        <f t="array" ref="D25:F25">'Knockout Grid'!F63:H63</f>
        <v>0</v>
      </c>
      <c r="E25">
        <v>0</v>
      </c>
      <c r="F25">
        <v>0</v>
      </c>
      <c r="G25" cm="1">
        <f t="array" ref="G25:I25">'Knockout Grid'!F64:H64</f>
        <v>0</v>
      </c>
      <c r="H25">
        <v>0</v>
      </c>
      <c r="I25">
        <v>0</v>
      </c>
      <c r="J25" s="6" t="s">
        <v>23</v>
      </c>
      <c r="K25" s="12">
        <v>46172</v>
      </c>
      <c r="L25" s="13">
        <v>0.64583333333333337</v>
      </c>
      <c r="M25">
        <v>8</v>
      </c>
    </row>
    <row r="26" spans="1:13" x14ac:dyDescent="0.25">
      <c r="A26">
        <v>25</v>
      </c>
      <c r="B26">
        <v>1</v>
      </c>
      <c r="C26" t="s">
        <v>9</v>
      </c>
      <c r="D26" cm="1">
        <f t="array" ref="D26:F26">'Knockout Grid'!K11:M11</f>
        <v>0</v>
      </c>
      <c r="E26">
        <v>0</v>
      </c>
      <c r="F26">
        <v>0</v>
      </c>
      <c r="G26" cm="1">
        <f t="array" ref="G26:I26">'Knockout Grid'!K12:M12</f>
        <v>0</v>
      </c>
      <c r="H26">
        <v>0</v>
      </c>
      <c r="I26">
        <v>0</v>
      </c>
      <c r="J26" s="6" t="s">
        <v>23</v>
      </c>
      <c r="K26" s="12">
        <v>46172</v>
      </c>
      <c r="L26" s="13">
        <v>0.70833333333333337</v>
      </c>
      <c r="M26">
        <v>1</v>
      </c>
    </row>
    <row r="27" spans="1:13" x14ac:dyDescent="0.25">
      <c r="A27">
        <v>26</v>
      </c>
      <c r="B27">
        <v>2</v>
      </c>
      <c r="C27" t="s">
        <v>9</v>
      </c>
      <c r="D27" cm="1">
        <f t="array" ref="D27:F27">'Knockout Grid'!K27:M27</f>
        <v>0</v>
      </c>
      <c r="E27">
        <v>0</v>
      </c>
      <c r="F27">
        <v>0</v>
      </c>
      <c r="G27" cm="1">
        <f t="array" ref="G27:I27">'Knockout Grid'!K28:M28</f>
        <v>0</v>
      </c>
      <c r="H27">
        <v>0</v>
      </c>
      <c r="I27">
        <v>0</v>
      </c>
      <c r="J27" s="6" t="s">
        <v>23</v>
      </c>
      <c r="K27" s="12">
        <v>46172</v>
      </c>
      <c r="L27" s="13">
        <v>0.70833333333333337</v>
      </c>
      <c r="M27">
        <v>2</v>
      </c>
    </row>
    <row r="28" spans="1:13" x14ac:dyDescent="0.25">
      <c r="A28">
        <v>27</v>
      </c>
      <c r="B28">
        <v>3</v>
      </c>
      <c r="C28" t="s">
        <v>9</v>
      </c>
      <c r="D28" cm="1">
        <f t="array" ref="D28:F28">'Knockout Grid'!K43:M43</f>
        <v>0</v>
      </c>
      <c r="E28">
        <v>0</v>
      </c>
      <c r="F28">
        <v>0</v>
      </c>
      <c r="G28" cm="1">
        <f t="array" ref="G28:I28">'Knockout Grid'!K44:M44</f>
        <v>0</v>
      </c>
      <c r="H28">
        <v>0</v>
      </c>
      <c r="I28">
        <v>0</v>
      </c>
      <c r="J28" s="6" t="s">
        <v>23</v>
      </c>
      <c r="K28" s="12">
        <v>46172</v>
      </c>
      <c r="L28" s="13">
        <v>0.70833333333333337</v>
      </c>
      <c r="M28">
        <v>3</v>
      </c>
    </row>
    <row r="29" spans="1:13" x14ac:dyDescent="0.25">
      <c r="A29">
        <v>28</v>
      </c>
      <c r="B29">
        <v>4</v>
      </c>
      <c r="C29" t="s">
        <v>9</v>
      </c>
      <c r="D29" cm="1">
        <f t="array" ref="D29:F29">'Knockout Grid'!K59:M59</f>
        <v>0</v>
      </c>
      <c r="E29">
        <v>0</v>
      </c>
      <c r="F29">
        <v>0</v>
      </c>
      <c r="G29" cm="1">
        <f t="array" ref="G29:I29">'Knockout Grid'!K60:M60</f>
        <v>0</v>
      </c>
      <c r="H29">
        <v>0</v>
      </c>
      <c r="I29">
        <v>0</v>
      </c>
      <c r="J29" s="6" t="s">
        <v>23</v>
      </c>
      <c r="K29" s="12">
        <v>46172</v>
      </c>
      <c r="L29" s="13">
        <v>0.70833333333333337</v>
      </c>
      <c r="M29">
        <v>4</v>
      </c>
    </row>
    <row r="30" spans="1:13" x14ac:dyDescent="0.25">
      <c r="A30">
        <v>29</v>
      </c>
      <c r="B30">
        <v>1</v>
      </c>
      <c r="C30" t="s">
        <v>10</v>
      </c>
      <c r="D30" cm="1">
        <f t="array" ref="D30:F30">'Knockout Grid'!P19:R19</f>
        <v>0</v>
      </c>
      <c r="E30">
        <v>0</v>
      </c>
      <c r="F30">
        <v>0</v>
      </c>
      <c r="G30" cm="1">
        <f t="array" ref="G30:I30">'Knockout Grid'!P20:R20</f>
        <v>0</v>
      </c>
      <c r="H30">
        <v>0</v>
      </c>
      <c r="I30">
        <v>0</v>
      </c>
      <c r="J30" s="6" t="s">
        <v>23</v>
      </c>
      <c r="K30" s="12">
        <v>46172</v>
      </c>
      <c r="L30" s="13">
        <v>0.75</v>
      </c>
      <c r="M30">
        <v>3</v>
      </c>
    </row>
    <row r="31" spans="1:13" x14ac:dyDescent="0.25">
      <c r="A31">
        <v>30</v>
      </c>
      <c r="B31">
        <v>2</v>
      </c>
      <c r="C31" t="s">
        <v>10</v>
      </c>
      <c r="D31" cm="1">
        <f t="array" ref="D31:F31">'Knockout Grid'!P51:R51</f>
        <v>0</v>
      </c>
      <c r="E31">
        <v>0</v>
      </c>
      <c r="F31">
        <v>0</v>
      </c>
      <c r="G31" cm="1">
        <f t="array" ref="G31:I31">'Knockout Grid'!P52:R52</f>
        <v>0</v>
      </c>
      <c r="H31">
        <v>0</v>
      </c>
      <c r="I31">
        <v>0</v>
      </c>
      <c r="J31" s="6" t="s">
        <v>23</v>
      </c>
      <c r="K31" s="12">
        <v>46172</v>
      </c>
      <c r="L31" s="13">
        <v>0.75</v>
      </c>
      <c r="M31">
        <v>4</v>
      </c>
    </row>
    <row r="32" spans="1:13" x14ac:dyDescent="0.25">
      <c r="A32">
        <v>31</v>
      </c>
      <c r="B32">
        <v>1</v>
      </c>
      <c r="C32" t="s">
        <v>11</v>
      </c>
      <c r="D32" cm="1">
        <f t="array" ref="D32:F32">'Knockout Grid'!U35:W35</f>
        <v>0</v>
      </c>
      <c r="E32">
        <v>0</v>
      </c>
      <c r="F32">
        <v>0</v>
      </c>
      <c r="G32" cm="1">
        <f t="array" ref="G32:I32">'Knockout Grid'!U36:W36</f>
        <v>0</v>
      </c>
      <c r="H32">
        <v>0</v>
      </c>
      <c r="I32">
        <v>0</v>
      </c>
      <c r="J32" s="6" t="s">
        <v>23</v>
      </c>
      <c r="K32" s="12">
        <v>46172</v>
      </c>
      <c r="L32" s="13">
        <v>0.79166666666666663</v>
      </c>
      <c r="M32">
        <v>2</v>
      </c>
    </row>
  </sheetData>
  <conditionalFormatting sqref="J8">
    <cfRule type="containsText" dxfId="31" priority="17" operator="containsText" text="Bye">
      <formula>NOT(ISERROR(SEARCH("Bye",J8)))</formula>
    </cfRule>
  </conditionalFormatting>
  <conditionalFormatting sqref="J16">
    <cfRule type="containsText" dxfId="30" priority="16" operator="containsText" text="Bye">
      <formula>NOT(ISERROR(SEARCH("Bye",J16)))</formula>
    </cfRule>
  </conditionalFormatting>
  <conditionalFormatting sqref="J18:J32">
    <cfRule type="containsText" dxfId="29" priority="1" operator="containsText" text="Bye">
      <formula>NOT(ISERROR(SEARCH("Bye",J18)))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31C-9499-49FA-A3C3-1CBBE3F28108}">
  <sheetPr>
    <pageSetUpPr fitToPage="1"/>
  </sheetPr>
  <dimension ref="A1:X66"/>
  <sheetViews>
    <sheetView tabSelected="1" topLeftCell="A42" zoomScale="85" zoomScaleNormal="85" workbookViewId="0">
      <selection activeCell="R57" sqref="R57"/>
    </sheetView>
  </sheetViews>
  <sheetFormatPr defaultRowHeight="15" x14ac:dyDescent="0.25"/>
  <cols>
    <col min="1" max="1" width="9.140625" style="6"/>
    <col min="4" max="4" width="5.5703125" customWidth="1"/>
    <col min="5" max="5" width="1.7109375" customWidth="1"/>
    <col min="9" max="9" width="4" customWidth="1"/>
    <col min="10" max="10" width="1.85546875" customWidth="1"/>
    <col min="12" max="12" width="9.140625" style="7"/>
    <col min="14" max="14" width="4.140625" customWidth="1"/>
    <col min="15" max="15" width="3.42578125" customWidth="1"/>
    <col min="19" max="19" width="5" customWidth="1"/>
    <col min="20" max="20" width="2.5703125" customWidth="1"/>
  </cols>
  <sheetData>
    <row r="1" spans="1:23" ht="34.5" x14ac:dyDescent="0.55000000000000004">
      <c r="A1" s="17" t="s">
        <v>16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2" spans="1:23" ht="34.5" x14ac:dyDescent="0.55000000000000004">
      <c r="A2" s="17" t="s">
        <v>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spans="1:23" ht="26.25" x14ac:dyDescent="0.4">
      <c r="A3" s="18" t="s">
        <v>17</v>
      </c>
      <c r="B3" s="18"/>
      <c r="C3" s="18"/>
      <c r="D3" s="8"/>
      <c r="E3" s="8"/>
      <c r="F3" s="18" t="s">
        <v>18</v>
      </c>
      <c r="G3" s="18"/>
      <c r="H3" s="18"/>
      <c r="I3" s="8"/>
      <c r="J3" s="8"/>
      <c r="K3" s="18" t="s">
        <v>19</v>
      </c>
      <c r="L3" s="18"/>
      <c r="M3" s="18"/>
      <c r="N3" s="8"/>
      <c r="O3" s="8"/>
      <c r="P3" s="18" t="s">
        <v>20</v>
      </c>
      <c r="Q3" s="18"/>
      <c r="R3" s="18"/>
      <c r="S3" s="8"/>
      <c r="T3" s="8"/>
      <c r="U3" s="18" t="s">
        <v>21</v>
      </c>
      <c r="V3" s="18"/>
      <c r="W3" s="18"/>
    </row>
    <row r="4" spans="1:23" x14ac:dyDescent="0.25">
      <c r="A4" s="6">
        <v>1</v>
      </c>
      <c r="B4">
        <v>32</v>
      </c>
      <c r="C4">
        <v>1</v>
      </c>
    </row>
    <row r="5" spans="1:23" x14ac:dyDescent="0.25">
      <c r="A5" s="9" t="s">
        <v>13</v>
      </c>
      <c r="B5" s="10"/>
      <c r="C5" s="11"/>
      <c r="D5" s="2"/>
      <c r="F5" s="6" t="s">
        <v>23</v>
      </c>
      <c r="G5" s="12">
        <v>46172</v>
      </c>
      <c r="H5" s="13">
        <v>0.64583333333333337</v>
      </c>
      <c r="I5">
        <v>1</v>
      </c>
    </row>
    <row r="6" spans="1:23" x14ac:dyDescent="0.25">
      <c r="A6" s="14" t="s">
        <v>15</v>
      </c>
      <c r="B6" s="10"/>
      <c r="C6" s="11"/>
      <c r="D6" s="3"/>
      <c r="F6">
        <v>17</v>
      </c>
      <c r="G6">
        <v>16</v>
      </c>
      <c r="H6">
        <v>1</v>
      </c>
    </row>
    <row r="7" spans="1:23" x14ac:dyDescent="0.25">
      <c r="D7" s="4"/>
      <c r="E7" s="5"/>
      <c r="F7" s="9"/>
      <c r="G7" s="10"/>
      <c r="H7" s="11"/>
      <c r="I7" s="2"/>
    </row>
    <row r="8" spans="1:23" x14ac:dyDescent="0.25">
      <c r="A8" s="6">
        <v>2</v>
      </c>
      <c r="B8">
        <v>32</v>
      </c>
      <c r="C8">
        <v>2</v>
      </c>
      <c r="D8" s="4"/>
      <c r="F8" s="9"/>
      <c r="G8" s="10"/>
      <c r="H8" s="11"/>
      <c r="I8" s="1"/>
    </row>
    <row r="9" spans="1:23" x14ac:dyDescent="0.25">
      <c r="A9" s="9" t="s">
        <v>15</v>
      </c>
      <c r="B9" s="10"/>
      <c r="C9" s="11"/>
      <c r="D9" s="5"/>
      <c r="I9" s="4"/>
      <c r="K9" s="6" t="s">
        <v>23</v>
      </c>
      <c r="L9" s="12">
        <v>46172</v>
      </c>
      <c r="M9" s="13">
        <v>0.70833333333333337</v>
      </c>
      <c r="N9">
        <v>1</v>
      </c>
    </row>
    <row r="10" spans="1:23" x14ac:dyDescent="0.25">
      <c r="A10" s="9" t="s">
        <v>24</v>
      </c>
      <c r="B10" s="10"/>
      <c r="C10" s="11"/>
      <c r="I10" s="4"/>
      <c r="K10">
        <v>25</v>
      </c>
      <c r="L10" s="7" t="s">
        <v>9</v>
      </c>
      <c r="M10">
        <v>1</v>
      </c>
    </row>
    <row r="11" spans="1:23" x14ac:dyDescent="0.25">
      <c r="I11" s="4"/>
      <c r="J11" s="2"/>
      <c r="K11" s="9"/>
      <c r="L11" s="15"/>
      <c r="M11" s="11"/>
      <c r="N11" s="2"/>
    </row>
    <row r="12" spans="1:23" x14ac:dyDescent="0.25">
      <c r="A12" s="6">
        <v>3</v>
      </c>
      <c r="B12">
        <v>32</v>
      </c>
      <c r="C12">
        <v>3</v>
      </c>
      <c r="I12" s="4"/>
      <c r="K12" s="9"/>
      <c r="L12" s="15"/>
      <c r="M12" s="11"/>
      <c r="N12" s="1"/>
    </row>
    <row r="13" spans="1:23" x14ac:dyDescent="0.25">
      <c r="A13" s="9" t="s">
        <v>38</v>
      </c>
      <c r="B13" s="10" t="s">
        <v>36</v>
      </c>
      <c r="C13" s="11"/>
      <c r="D13" s="2"/>
      <c r="F13" s="6" t="s">
        <v>23</v>
      </c>
      <c r="G13" s="12">
        <v>46172</v>
      </c>
      <c r="H13" s="13">
        <v>0.64583333333333337</v>
      </c>
      <c r="I13" s="4">
        <v>2</v>
      </c>
      <c r="N13" s="4"/>
    </row>
    <row r="14" spans="1:23" x14ac:dyDescent="0.25">
      <c r="A14" s="9" t="s">
        <v>15</v>
      </c>
      <c r="B14" s="10"/>
      <c r="C14" s="11"/>
      <c r="D14" s="3"/>
      <c r="F14">
        <v>18</v>
      </c>
      <c r="G14">
        <v>16</v>
      </c>
      <c r="H14">
        <v>2</v>
      </c>
      <c r="I14" s="4"/>
      <c r="N14" s="4"/>
    </row>
    <row r="15" spans="1:23" x14ac:dyDescent="0.25">
      <c r="D15" s="4"/>
      <c r="E15" s="5"/>
      <c r="F15" s="9" t="s">
        <v>38</v>
      </c>
      <c r="G15" s="10" t="s">
        <v>36</v>
      </c>
      <c r="H15" s="11"/>
      <c r="I15" s="5"/>
      <c r="N15" s="4"/>
    </row>
    <row r="16" spans="1:23" x14ac:dyDescent="0.25">
      <c r="A16" s="6">
        <v>4</v>
      </c>
      <c r="B16">
        <v>32</v>
      </c>
      <c r="C16">
        <v>4</v>
      </c>
      <c r="D16" s="4"/>
      <c r="F16" s="9" t="s">
        <v>45</v>
      </c>
      <c r="G16" s="10" t="s">
        <v>36</v>
      </c>
      <c r="H16" s="11"/>
      <c r="N16" s="4"/>
    </row>
    <row r="17" spans="1:19" x14ac:dyDescent="0.25">
      <c r="A17" s="9" t="s">
        <v>15</v>
      </c>
      <c r="B17" s="10"/>
      <c r="C17" s="11"/>
      <c r="D17" s="5"/>
      <c r="N17" s="4"/>
      <c r="P17" s="6" t="s">
        <v>23</v>
      </c>
      <c r="Q17" s="12">
        <v>46172</v>
      </c>
      <c r="R17" s="13">
        <v>0.75</v>
      </c>
      <c r="S17">
        <v>3</v>
      </c>
    </row>
    <row r="18" spans="1:19" x14ac:dyDescent="0.25">
      <c r="A18" s="9" t="s">
        <v>45</v>
      </c>
      <c r="B18" s="10" t="s">
        <v>36</v>
      </c>
      <c r="C18" s="11"/>
      <c r="N18" s="4"/>
      <c r="P18">
        <v>29</v>
      </c>
      <c r="Q18" s="7" t="s">
        <v>10</v>
      </c>
      <c r="R18">
        <v>1</v>
      </c>
    </row>
    <row r="19" spans="1:19" x14ac:dyDescent="0.25">
      <c r="N19" s="4"/>
      <c r="O19" s="2"/>
      <c r="P19" s="9"/>
      <c r="Q19" s="15"/>
      <c r="R19" s="11"/>
      <c r="S19" s="2"/>
    </row>
    <row r="20" spans="1:19" x14ac:dyDescent="0.25">
      <c r="A20" s="6">
        <v>5</v>
      </c>
      <c r="B20">
        <v>32</v>
      </c>
      <c r="C20">
        <v>5</v>
      </c>
      <c r="N20" s="4"/>
      <c r="P20" s="9"/>
      <c r="Q20" s="15"/>
      <c r="R20" s="11"/>
      <c r="S20" s="1"/>
    </row>
    <row r="21" spans="1:19" x14ac:dyDescent="0.25">
      <c r="A21" s="9" t="s">
        <v>39</v>
      </c>
      <c r="B21" s="10" t="s">
        <v>33</v>
      </c>
      <c r="C21" s="11"/>
      <c r="D21" s="2"/>
      <c r="F21" s="6" t="s">
        <v>23</v>
      </c>
      <c r="G21" s="12">
        <v>46172</v>
      </c>
      <c r="H21" s="13">
        <v>0.64583333333333337</v>
      </c>
      <c r="I21">
        <v>3</v>
      </c>
      <c r="N21" s="4"/>
      <c r="Q21" s="7"/>
      <c r="S21" s="4"/>
    </row>
    <row r="22" spans="1:19" x14ac:dyDescent="0.25">
      <c r="A22" s="9" t="s">
        <v>15</v>
      </c>
      <c r="B22" s="10"/>
      <c r="C22" s="11"/>
      <c r="D22" s="3"/>
      <c r="F22">
        <v>19</v>
      </c>
      <c r="G22">
        <v>16</v>
      </c>
      <c r="H22">
        <v>3</v>
      </c>
      <c r="N22" s="4"/>
      <c r="S22" s="4"/>
    </row>
    <row r="23" spans="1:19" x14ac:dyDescent="0.25">
      <c r="B23" s="12"/>
      <c r="C23" s="13"/>
      <c r="D23" s="4"/>
      <c r="E23" s="5"/>
      <c r="F23" s="9" t="s">
        <v>39</v>
      </c>
      <c r="G23" s="10" t="s">
        <v>33</v>
      </c>
      <c r="H23" s="11"/>
      <c r="I23" s="2"/>
      <c r="N23" s="4"/>
      <c r="S23" s="4"/>
    </row>
    <row r="24" spans="1:19" x14ac:dyDescent="0.25">
      <c r="A24" s="6">
        <v>6</v>
      </c>
      <c r="B24">
        <v>32</v>
      </c>
      <c r="C24">
        <v>6</v>
      </c>
      <c r="D24" s="4"/>
      <c r="F24" s="9" t="s">
        <v>35</v>
      </c>
      <c r="G24" s="10" t="s">
        <v>36</v>
      </c>
      <c r="H24" s="11"/>
      <c r="I24" s="1"/>
      <c r="N24" s="4"/>
      <c r="S24" s="4"/>
    </row>
    <row r="25" spans="1:19" x14ac:dyDescent="0.25">
      <c r="A25" s="9"/>
      <c r="B25" s="10"/>
      <c r="C25" s="11"/>
      <c r="D25" s="5"/>
      <c r="I25" s="4"/>
      <c r="K25" s="6" t="s">
        <v>23</v>
      </c>
      <c r="L25" s="12">
        <v>46172</v>
      </c>
      <c r="M25" s="13">
        <v>0.70833333333333337</v>
      </c>
      <c r="N25">
        <v>2</v>
      </c>
      <c r="O25" s="16"/>
      <c r="S25" s="4"/>
    </row>
    <row r="26" spans="1:19" x14ac:dyDescent="0.25">
      <c r="A26" s="9" t="s">
        <v>35</v>
      </c>
      <c r="B26" s="10" t="s">
        <v>36</v>
      </c>
      <c r="C26" s="11"/>
      <c r="I26" s="4"/>
      <c r="K26">
        <v>26</v>
      </c>
      <c r="L26" s="7" t="s">
        <v>9</v>
      </c>
      <c r="M26">
        <v>2</v>
      </c>
      <c r="N26" s="4"/>
      <c r="S26" s="4"/>
    </row>
    <row r="27" spans="1:19" x14ac:dyDescent="0.25">
      <c r="A27" s="6" t="s">
        <v>23</v>
      </c>
      <c r="B27" s="12">
        <v>46172</v>
      </c>
      <c r="C27" s="13">
        <v>0.625</v>
      </c>
      <c r="D27">
        <v>1</v>
      </c>
      <c r="I27" s="4"/>
      <c r="J27" s="2"/>
      <c r="K27" s="9"/>
      <c r="L27" s="15"/>
      <c r="M27" s="11"/>
      <c r="N27" s="5"/>
      <c r="S27" s="4"/>
    </row>
    <row r="28" spans="1:19" x14ac:dyDescent="0.25">
      <c r="A28" s="6">
        <v>7</v>
      </c>
      <c r="B28">
        <v>32</v>
      </c>
      <c r="C28">
        <v>7</v>
      </c>
      <c r="I28" s="4"/>
      <c r="K28" s="9"/>
      <c r="L28" s="15"/>
      <c r="M28" s="11"/>
      <c r="S28" s="4"/>
    </row>
    <row r="29" spans="1:19" x14ac:dyDescent="0.25">
      <c r="A29" s="9" t="s">
        <v>44</v>
      </c>
      <c r="B29" s="10" t="s">
        <v>31</v>
      </c>
      <c r="C29" s="11"/>
      <c r="D29" s="2"/>
      <c r="F29" s="6" t="s">
        <v>23</v>
      </c>
      <c r="G29" s="12">
        <v>46172</v>
      </c>
      <c r="H29" s="13">
        <v>0.64583333333333337</v>
      </c>
      <c r="I29">
        <v>4</v>
      </c>
      <c r="J29" s="16"/>
      <c r="S29" s="4"/>
    </row>
    <row r="30" spans="1:19" x14ac:dyDescent="0.25">
      <c r="A30" s="9" t="s">
        <v>48</v>
      </c>
      <c r="B30" s="10" t="s">
        <v>36</v>
      </c>
      <c r="C30" s="11"/>
      <c r="D30" s="3"/>
      <c r="F30">
        <v>20</v>
      </c>
      <c r="G30">
        <v>16</v>
      </c>
      <c r="H30">
        <v>4</v>
      </c>
      <c r="I30" s="4"/>
      <c r="S30" s="4"/>
    </row>
    <row r="31" spans="1:19" x14ac:dyDescent="0.25">
      <c r="D31" s="4"/>
      <c r="E31" s="5"/>
      <c r="F31" s="9"/>
      <c r="G31" s="10"/>
      <c r="H31" s="11"/>
      <c r="I31" s="5"/>
      <c r="S31" s="4"/>
    </row>
    <row r="32" spans="1:19" x14ac:dyDescent="0.25">
      <c r="A32" s="6">
        <v>8</v>
      </c>
      <c r="B32">
        <v>32</v>
      </c>
      <c r="C32">
        <v>8</v>
      </c>
      <c r="D32" s="4"/>
      <c r="F32" s="9" t="s">
        <v>30</v>
      </c>
      <c r="G32" s="10" t="s">
        <v>31</v>
      </c>
      <c r="H32" s="11"/>
      <c r="S32" s="4"/>
    </row>
    <row r="33" spans="1:24" x14ac:dyDescent="0.25">
      <c r="A33" s="9" t="s">
        <v>15</v>
      </c>
      <c r="B33" s="10"/>
      <c r="C33" s="11"/>
      <c r="D33" s="5"/>
      <c r="S33" s="4"/>
    </row>
    <row r="34" spans="1:24" x14ac:dyDescent="0.25">
      <c r="A34" s="9" t="s">
        <v>30</v>
      </c>
      <c r="B34" s="10" t="s">
        <v>31</v>
      </c>
      <c r="C34" s="11"/>
      <c r="S34" s="4"/>
      <c r="U34" s="6" t="s">
        <v>23</v>
      </c>
      <c r="V34" s="12">
        <v>46172</v>
      </c>
      <c r="W34" s="13">
        <v>0.79166666666666663</v>
      </c>
      <c r="X34">
        <v>2</v>
      </c>
    </row>
    <row r="35" spans="1:24" x14ac:dyDescent="0.25">
      <c r="S35" s="4"/>
      <c r="T35" s="2"/>
      <c r="U35" s="9"/>
      <c r="V35" s="15"/>
      <c r="W35" s="11"/>
    </row>
    <row r="36" spans="1:24" x14ac:dyDescent="0.25">
      <c r="A36" s="6">
        <v>9</v>
      </c>
      <c r="B36">
        <v>32</v>
      </c>
      <c r="C36">
        <v>9</v>
      </c>
      <c r="S36" s="4"/>
      <c r="U36" s="9"/>
      <c r="V36" s="15"/>
      <c r="W36" s="11"/>
    </row>
    <row r="37" spans="1:24" x14ac:dyDescent="0.25">
      <c r="A37" s="9" t="s">
        <v>34</v>
      </c>
      <c r="B37" s="10" t="s">
        <v>33</v>
      </c>
      <c r="C37" s="11"/>
      <c r="D37" s="2"/>
      <c r="F37" s="6" t="s">
        <v>23</v>
      </c>
      <c r="G37" s="12">
        <v>46172</v>
      </c>
      <c r="H37" s="13">
        <v>0.64583333333333337</v>
      </c>
      <c r="I37">
        <v>5</v>
      </c>
      <c r="S37" s="4"/>
      <c r="V37" s="7"/>
    </row>
    <row r="38" spans="1:24" x14ac:dyDescent="0.25">
      <c r="A38" s="9" t="s">
        <v>15</v>
      </c>
      <c r="B38" s="10"/>
      <c r="C38" s="11"/>
      <c r="D38" s="3"/>
      <c r="F38">
        <v>21</v>
      </c>
      <c r="G38">
        <v>16</v>
      </c>
      <c r="H38">
        <v>5</v>
      </c>
      <c r="S38" s="4"/>
    </row>
    <row r="39" spans="1:24" x14ac:dyDescent="0.25">
      <c r="D39" s="4"/>
      <c r="E39" s="5"/>
      <c r="F39" s="9" t="s">
        <v>34</v>
      </c>
      <c r="G39" s="10" t="s">
        <v>33</v>
      </c>
      <c r="H39" s="11"/>
      <c r="I39" s="2"/>
      <c r="S39" s="4"/>
    </row>
    <row r="40" spans="1:24" x14ac:dyDescent="0.25">
      <c r="A40" s="6">
        <v>10</v>
      </c>
      <c r="B40">
        <v>32</v>
      </c>
      <c r="C40">
        <v>10</v>
      </c>
      <c r="D40" s="4"/>
      <c r="F40" s="9"/>
      <c r="G40" s="10"/>
      <c r="H40" s="11"/>
      <c r="I40" s="1"/>
      <c r="S40" s="4"/>
    </row>
    <row r="41" spans="1:24" x14ac:dyDescent="0.25">
      <c r="A41" s="9" t="s">
        <v>15</v>
      </c>
      <c r="B41" s="10"/>
      <c r="C41" s="11"/>
      <c r="D41" s="5"/>
      <c r="I41" s="4"/>
      <c r="K41" s="6" t="s">
        <v>23</v>
      </c>
      <c r="L41" s="12">
        <v>46172</v>
      </c>
      <c r="M41" s="13">
        <v>0.70833333333333337</v>
      </c>
      <c r="N41">
        <v>3</v>
      </c>
      <c r="S41" s="4"/>
    </row>
    <row r="42" spans="1:24" x14ac:dyDescent="0.25">
      <c r="A42" s="9" t="s">
        <v>47</v>
      </c>
      <c r="B42" s="10" t="s">
        <v>33</v>
      </c>
      <c r="C42" s="11"/>
      <c r="I42" s="4"/>
      <c r="K42">
        <v>27</v>
      </c>
      <c r="L42" s="7" t="s">
        <v>9</v>
      </c>
      <c r="M42">
        <v>3</v>
      </c>
      <c r="S42" s="4"/>
    </row>
    <row r="43" spans="1:24" x14ac:dyDescent="0.25">
      <c r="B43" s="12"/>
      <c r="C43" s="13"/>
      <c r="I43" s="4"/>
      <c r="J43" s="2"/>
      <c r="K43" s="9"/>
      <c r="L43" s="15"/>
      <c r="M43" s="11"/>
      <c r="N43" s="2"/>
      <c r="S43" s="4"/>
    </row>
    <row r="44" spans="1:24" x14ac:dyDescent="0.25">
      <c r="A44" s="6">
        <v>11</v>
      </c>
      <c r="B44">
        <v>32</v>
      </c>
      <c r="C44">
        <v>11</v>
      </c>
      <c r="I44" s="4"/>
      <c r="K44" s="9"/>
      <c r="L44" s="15"/>
      <c r="M44" s="11"/>
      <c r="N44" s="1"/>
      <c r="S44" s="4"/>
    </row>
    <row r="45" spans="1:24" x14ac:dyDescent="0.25">
      <c r="A45" s="9" t="s">
        <v>40</v>
      </c>
      <c r="B45" s="10" t="s">
        <v>41</v>
      </c>
      <c r="C45" s="11"/>
      <c r="D45" s="2"/>
      <c r="F45" s="6" t="s">
        <v>23</v>
      </c>
      <c r="G45" s="12">
        <v>46172</v>
      </c>
      <c r="H45" s="13">
        <v>0.64583333333333337</v>
      </c>
      <c r="I45">
        <v>6</v>
      </c>
      <c r="J45" s="16"/>
      <c r="N45" s="4"/>
      <c r="S45" s="4"/>
    </row>
    <row r="46" spans="1:24" x14ac:dyDescent="0.25">
      <c r="A46" s="9"/>
      <c r="B46" s="10"/>
      <c r="C46" s="11"/>
      <c r="D46" s="3"/>
      <c r="F46">
        <v>22</v>
      </c>
      <c r="G46">
        <v>16</v>
      </c>
      <c r="H46">
        <v>6</v>
      </c>
      <c r="I46" s="4"/>
      <c r="N46" s="4"/>
      <c r="S46" s="4"/>
    </row>
    <row r="47" spans="1:24" x14ac:dyDescent="0.25">
      <c r="D47" s="4"/>
      <c r="E47" s="5"/>
      <c r="F47" s="9" t="s">
        <v>40</v>
      </c>
      <c r="G47" s="10" t="s">
        <v>41</v>
      </c>
      <c r="H47" s="11"/>
      <c r="I47" s="5"/>
      <c r="N47" s="4"/>
      <c r="S47" s="4"/>
    </row>
    <row r="48" spans="1:24" x14ac:dyDescent="0.25">
      <c r="A48" s="6">
        <v>12</v>
      </c>
      <c r="B48">
        <v>32</v>
      </c>
      <c r="C48">
        <v>12</v>
      </c>
      <c r="D48" s="4"/>
      <c r="F48" s="9" t="s">
        <v>42</v>
      </c>
      <c r="G48" s="10" t="s">
        <v>43</v>
      </c>
      <c r="H48" s="11"/>
      <c r="N48" s="4"/>
      <c r="S48" s="4"/>
    </row>
    <row r="49" spans="1:19" x14ac:dyDescent="0.25">
      <c r="A49" s="9" t="s">
        <v>15</v>
      </c>
      <c r="B49" s="10"/>
      <c r="C49" s="11"/>
      <c r="D49" s="5"/>
      <c r="N49" s="4"/>
      <c r="S49" s="4"/>
    </row>
    <row r="50" spans="1:19" x14ac:dyDescent="0.25">
      <c r="A50" s="9" t="s">
        <v>42</v>
      </c>
      <c r="B50" s="10" t="s">
        <v>43</v>
      </c>
      <c r="C50" s="11"/>
      <c r="N50" s="4"/>
      <c r="P50" s="6" t="s">
        <v>23</v>
      </c>
      <c r="Q50" s="12">
        <v>46172</v>
      </c>
      <c r="R50" s="13">
        <v>0.75</v>
      </c>
      <c r="S50">
        <v>4</v>
      </c>
    </row>
    <row r="51" spans="1:19" x14ac:dyDescent="0.25">
      <c r="N51" s="4"/>
      <c r="O51" s="2"/>
      <c r="P51" s="9"/>
      <c r="Q51" s="15"/>
      <c r="R51" s="11"/>
      <c r="S51" s="5"/>
    </row>
    <row r="52" spans="1:19" x14ac:dyDescent="0.25">
      <c r="A52" s="6">
        <v>13</v>
      </c>
      <c r="B52">
        <v>32</v>
      </c>
      <c r="C52">
        <v>13</v>
      </c>
      <c r="N52" s="4"/>
      <c r="P52" s="9"/>
      <c r="Q52" s="15"/>
      <c r="R52" s="11"/>
    </row>
    <row r="53" spans="1:19" x14ac:dyDescent="0.25">
      <c r="A53" s="9" t="s">
        <v>37</v>
      </c>
      <c r="B53" s="10" t="s">
        <v>31</v>
      </c>
      <c r="C53" s="11"/>
      <c r="D53" s="2"/>
      <c r="F53" s="6" t="s">
        <v>23</v>
      </c>
      <c r="G53" s="12">
        <v>46172</v>
      </c>
      <c r="H53" s="13">
        <v>0.64583333333333337</v>
      </c>
      <c r="I53">
        <v>7</v>
      </c>
      <c r="N53" s="4"/>
      <c r="Q53" s="7"/>
    </row>
    <row r="54" spans="1:19" x14ac:dyDescent="0.25">
      <c r="A54" s="9" t="s">
        <v>15</v>
      </c>
      <c r="B54" s="10"/>
      <c r="C54" s="11"/>
      <c r="D54" s="3"/>
      <c r="F54">
        <v>23</v>
      </c>
      <c r="G54">
        <v>16</v>
      </c>
      <c r="H54">
        <v>7</v>
      </c>
      <c r="N54" s="4"/>
    </row>
    <row r="55" spans="1:19" x14ac:dyDescent="0.25">
      <c r="D55" s="4"/>
      <c r="E55" s="5"/>
      <c r="F55" s="9" t="s">
        <v>37</v>
      </c>
      <c r="G55" s="10" t="s">
        <v>31</v>
      </c>
      <c r="H55" s="11"/>
      <c r="I55" s="2"/>
      <c r="N55" s="4"/>
    </row>
    <row r="56" spans="1:19" x14ac:dyDescent="0.25">
      <c r="A56" s="6">
        <v>14</v>
      </c>
      <c r="B56">
        <v>32</v>
      </c>
      <c r="C56">
        <v>14</v>
      </c>
      <c r="D56" s="4"/>
      <c r="F56" s="9" t="s">
        <v>32</v>
      </c>
      <c r="G56" s="10" t="s">
        <v>33</v>
      </c>
      <c r="H56" s="11"/>
      <c r="I56" s="1"/>
      <c r="N56" s="4"/>
    </row>
    <row r="57" spans="1:19" x14ac:dyDescent="0.25">
      <c r="A57" s="9" t="s">
        <v>15</v>
      </c>
      <c r="B57" s="10"/>
      <c r="C57" s="11"/>
      <c r="D57" s="5"/>
      <c r="I57" s="4"/>
      <c r="K57" s="6" t="s">
        <v>23</v>
      </c>
      <c r="L57" s="12">
        <v>46172</v>
      </c>
      <c r="M57" s="13">
        <v>0.70833333333333337</v>
      </c>
      <c r="N57">
        <v>4</v>
      </c>
      <c r="O57" s="16"/>
    </row>
    <row r="58" spans="1:19" x14ac:dyDescent="0.25">
      <c r="A58" s="9" t="s">
        <v>32</v>
      </c>
      <c r="B58" s="10" t="s">
        <v>33</v>
      </c>
      <c r="C58" s="11"/>
      <c r="I58" s="4"/>
      <c r="K58">
        <v>28</v>
      </c>
      <c r="L58" s="7" t="s">
        <v>9</v>
      </c>
      <c r="M58">
        <v>4</v>
      </c>
      <c r="N58" s="4"/>
    </row>
    <row r="59" spans="1:19" x14ac:dyDescent="0.25">
      <c r="A59" s="6" t="s">
        <v>23</v>
      </c>
      <c r="B59" s="12">
        <v>46172</v>
      </c>
      <c r="C59" s="13">
        <v>0.625</v>
      </c>
      <c r="D59">
        <v>2</v>
      </c>
      <c r="I59" s="4"/>
      <c r="J59" s="2"/>
      <c r="K59" s="9"/>
      <c r="L59" s="15"/>
      <c r="M59" s="11"/>
      <c r="N59" s="5"/>
    </row>
    <row r="60" spans="1:19" x14ac:dyDescent="0.25">
      <c r="A60" s="6">
        <v>15</v>
      </c>
      <c r="B60">
        <v>32</v>
      </c>
      <c r="C60">
        <v>15</v>
      </c>
      <c r="I60" s="4"/>
      <c r="K60" s="9"/>
      <c r="L60" s="15"/>
      <c r="M60" s="11"/>
    </row>
    <row r="61" spans="1:19" x14ac:dyDescent="0.25">
      <c r="A61" s="9" t="s">
        <v>25</v>
      </c>
      <c r="B61" s="10"/>
      <c r="C61" s="11"/>
      <c r="D61" s="2"/>
      <c r="F61" s="6" t="s">
        <v>23</v>
      </c>
      <c r="G61" s="12">
        <v>46172</v>
      </c>
      <c r="H61" s="13">
        <v>0.64583333333333337</v>
      </c>
      <c r="I61" s="4">
        <v>8</v>
      </c>
    </row>
    <row r="62" spans="1:19" x14ac:dyDescent="0.25">
      <c r="A62" s="9" t="s">
        <v>46</v>
      </c>
      <c r="B62" s="10" t="s">
        <v>31</v>
      </c>
      <c r="C62" s="11"/>
      <c r="D62" s="3"/>
      <c r="F62">
        <v>24</v>
      </c>
      <c r="G62">
        <v>16</v>
      </c>
      <c r="H62">
        <v>8</v>
      </c>
      <c r="I62" s="4"/>
    </row>
    <row r="63" spans="1:19" x14ac:dyDescent="0.25">
      <c r="D63" s="4"/>
      <c r="E63" s="5"/>
      <c r="F63" s="9"/>
      <c r="G63" s="10"/>
      <c r="H63" s="11"/>
      <c r="I63" s="5"/>
    </row>
    <row r="64" spans="1:19" x14ac:dyDescent="0.25">
      <c r="A64" s="6">
        <v>16</v>
      </c>
      <c r="B64">
        <v>32</v>
      </c>
      <c r="C64">
        <v>16</v>
      </c>
      <c r="D64" s="4"/>
      <c r="F64" s="9"/>
      <c r="G64" s="10"/>
      <c r="H64" s="11"/>
    </row>
    <row r="65" spans="1:4" x14ac:dyDescent="0.25">
      <c r="A65" s="9" t="s">
        <v>12</v>
      </c>
      <c r="B65" s="10"/>
      <c r="C65" s="11"/>
      <c r="D65" s="5"/>
    </row>
    <row r="66" spans="1:4" x14ac:dyDescent="0.25">
      <c r="A66" s="9" t="s">
        <v>14</v>
      </c>
      <c r="B66" s="10"/>
      <c r="C66" s="11"/>
    </row>
  </sheetData>
  <mergeCells count="7">
    <mergeCell ref="A1:W1"/>
    <mergeCell ref="A2:W2"/>
    <mergeCell ref="A3:C3"/>
    <mergeCell ref="F3:H3"/>
    <mergeCell ref="K3:M3"/>
    <mergeCell ref="P3:R3"/>
    <mergeCell ref="U3:W3"/>
  </mergeCells>
  <phoneticPr fontId="1" type="noConversion"/>
  <conditionalFormatting sqref="A5:A66">
    <cfRule type="containsText" dxfId="28" priority="1" operator="containsText" text="Bye">
      <formula>NOT(ISERROR(SEARCH("Bye",A5)))</formula>
    </cfRule>
  </conditionalFormatting>
  <conditionalFormatting sqref="F5">
    <cfRule type="containsText" dxfId="27" priority="17" operator="containsText" text="Bye">
      <formula>NOT(ISERROR(SEARCH("Bye",F5)))</formula>
    </cfRule>
  </conditionalFormatting>
  <conditionalFormatting sqref="F7:F8">
    <cfRule type="containsText" dxfId="26" priority="32" operator="containsText" text="Bye">
      <formula>NOT(ISERROR(SEARCH("Bye",F7)))</formula>
    </cfRule>
  </conditionalFormatting>
  <conditionalFormatting sqref="F13">
    <cfRule type="containsText" dxfId="25" priority="16" operator="containsText" text="Bye">
      <formula>NOT(ISERROR(SEARCH("Bye",F13)))</formula>
    </cfRule>
  </conditionalFormatting>
  <conditionalFormatting sqref="F15:F16">
    <cfRule type="containsText" dxfId="24" priority="31" operator="containsText" text="Bye">
      <formula>NOT(ISERROR(SEARCH("Bye",F15)))</formula>
    </cfRule>
  </conditionalFormatting>
  <conditionalFormatting sqref="F21">
    <cfRule type="containsText" dxfId="23" priority="15" operator="containsText" text="Bye">
      <formula>NOT(ISERROR(SEARCH("Bye",F21)))</formula>
    </cfRule>
  </conditionalFormatting>
  <conditionalFormatting sqref="F23:F24">
    <cfRule type="containsText" dxfId="22" priority="30" operator="containsText" text="Bye">
      <formula>NOT(ISERROR(SEARCH("Bye",F23)))</formula>
    </cfRule>
  </conditionalFormatting>
  <conditionalFormatting sqref="F29">
    <cfRule type="containsText" dxfId="21" priority="14" operator="containsText" text="Bye">
      <formula>NOT(ISERROR(SEARCH("Bye",F29)))</formula>
    </cfRule>
  </conditionalFormatting>
  <conditionalFormatting sqref="F31:F32">
    <cfRule type="containsText" dxfId="20" priority="29" operator="containsText" text="Bye">
      <formula>NOT(ISERROR(SEARCH("Bye",F31)))</formula>
    </cfRule>
  </conditionalFormatting>
  <conditionalFormatting sqref="F37">
    <cfRule type="containsText" dxfId="19" priority="13" operator="containsText" text="Bye">
      <formula>NOT(ISERROR(SEARCH("Bye",F37)))</formula>
    </cfRule>
  </conditionalFormatting>
  <conditionalFormatting sqref="F39:F40">
    <cfRule type="containsText" dxfId="18" priority="28" operator="containsText" text="Bye">
      <formula>NOT(ISERROR(SEARCH("Bye",F39)))</formula>
    </cfRule>
  </conditionalFormatting>
  <conditionalFormatting sqref="F45">
    <cfRule type="containsText" dxfId="17" priority="12" operator="containsText" text="Bye">
      <formula>NOT(ISERROR(SEARCH("Bye",F45)))</formula>
    </cfRule>
  </conditionalFormatting>
  <conditionalFormatting sqref="F47:F48">
    <cfRule type="containsText" dxfId="16" priority="27" operator="containsText" text="Bye">
      <formula>NOT(ISERROR(SEARCH("Bye",F47)))</formula>
    </cfRule>
  </conditionalFormatting>
  <conditionalFormatting sqref="F53">
    <cfRule type="containsText" dxfId="15" priority="11" operator="containsText" text="Bye">
      <formula>NOT(ISERROR(SEARCH("Bye",F53)))</formula>
    </cfRule>
  </conditionalFormatting>
  <conditionalFormatting sqref="F55:F56">
    <cfRule type="containsText" dxfId="14" priority="26" operator="containsText" text="Bye">
      <formula>NOT(ISERROR(SEARCH("Bye",F55)))</formula>
    </cfRule>
  </conditionalFormatting>
  <conditionalFormatting sqref="F61">
    <cfRule type="containsText" dxfId="13" priority="10" operator="containsText" text="Bye">
      <formula>NOT(ISERROR(SEARCH("Bye",F61)))</formula>
    </cfRule>
  </conditionalFormatting>
  <conditionalFormatting sqref="F63:F64">
    <cfRule type="containsText" dxfId="12" priority="25" operator="containsText" text="Bye">
      <formula>NOT(ISERROR(SEARCH("Bye",F63)))</formula>
    </cfRule>
  </conditionalFormatting>
  <conditionalFormatting sqref="K9">
    <cfRule type="containsText" dxfId="11" priority="9" operator="containsText" text="Bye">
      <formula>NOT(ISERROR(SEARCH("Bye",K9)))</formula>
    </cfRule>
  </conditionalFormatting>
  <conditionalFormatting sqref="K11:K12">
    <cfRule type="containsText" dxfId="10" priority="21" operator="containsText" text="Bye">
      <formula>NOT(ISERROR(SEARCH("Bye",K11)))</formula>
    </cfRule>
  </conditionalFormatting>
  <conditionalFormatting sqref="K25">
    <cfRule type="containsText" dxfId="9" priority="8" operator="containsText" text="Bye">
      <formula>NOT(ISERROR(SEARCH("Bye",K25)))</formula>
    </cfRule>
  </conditionalFormatting>
  <conditionalFormatting sqref="K27:K28">
    <cfRule type="containsText" dxfId="8" priority="22" operator="containsText" text="Bye">
      <formula>NOT(ISERROR(SEARCH("Bye",K27)))</formula>
    </cfRule>
  </conditionalFormatting>
  <conditionalFormatting sqref="K41">
    <cfRule type="containsText" dxfId="7" priority="7" operator="containsText" text="Bye">
      <formula>NOT(ISERROR(SEARCH("Bye",K41)))</formula>
    </cfRule>
  </conditionalFormatting>
  <conditionalFormatting sqref="K43:K44">
    <cfRule type="containsText" dxfId="6" priority="23" operator="containsText" text="Bye">
      <formula>NOT(ISERROR(SEARCH("Bye",K43)))</formula>
    </cfRule>
  </conditionalFormatting>
  <conditionalFormatting sqref="K57">
    <cfRule type="containsText" dxfId="5" priority="6" operator="containsText" text="Bye">
      <formula>NOT(ISERROR(SEARCH("Bye",K57)))</formula>
    </cfRule>
  </conditionalFormatting>
  <conditionalFormatting sqref="K59:K60">
    <cfRule type="containsText" dxfId="4" priority="24" operator="containsText" text="Bye">
      <formula>NOT(ISERROR(SEARCH("Bye",K59)))</formula>
    </cfRule>
  </conditionalFormatting>
  <conditionalFormatting sqref="P17">
    <cfRule type="containsText" dxfId="3" priority="5" operator="containsText" text="Bye">
      <formula>NOT(ISERROR(SEARCH("Bye",P17)))</formula>
    </cfRule>
  </conditionalFormatting>
  <conditionalFormatting sqref="P19:P20">
    <cfRule type="containsText" dxfId="2" priority="20" operator="containsText" text="Bye">
      <formula>NOT(ISERROR(SEARCH("Bye",P19)))</formula>
    </cfRule>
  </conditionalFormatting>
  <conditionalFormatting sqref="P50:P52">
    <cfRule type="containsText" dxfId="1" priority="4" operator="containsText" text="Bye">
      <formula>NOT(ISERROR(SEARCH("Bye",P50)))</formula>
    </cfRule>
  </conditionalFormatting>
  <conditionalFormatting sqref="U34:U36">
    <cfRule type="containsText" dxfId="0" priority="3" operator="containsText" text="Bye">
      <formula>NOT(ISERROR(SEARCH("Bye",U34)))</formula>
    </cfRule>
  </conditionalFormatting>
  <pageMargins left="0.7" right="0.7" top="0.75" bottom="0.75" header="0.3" footer="0.3"/>
  <pageSetup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Knockout Matches</vt:lpstr>
      <vt:lpstr>Knockout Grid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2026-05-28T10:52:33Z</cp:lastPrinted>
  <dcterms:created xsi:type="dcterms:W3CDTF">2026-05-27T11:47:13Z</dcterms:created>
  <dcterms:modified xsi:type="dcterms:W3CDTF">2026-05-30T11:45:21Z</dcterms:modified>
</cp:coreProperties>
</file>