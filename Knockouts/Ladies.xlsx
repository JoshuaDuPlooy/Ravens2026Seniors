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cuments\Ravens Seniors\Knockouts\"/>
    </mc:Choice>
  </mc:AlternateContent>
  <xr:revisionPtr revIDLastSave="0" documentId="13_ncr:1_{3CB27518-87CC-44D2-BD74-658AD3545044}" xr6:coauthVersionLast="47" xr6:coauthVersionMax="47" xr10:uidLastSave="{00000000-0000-0000-0000-000000000000}"/>
  <bookViews>
    <workbookView xWindow="-120" yWindow="-120" windowWidth="19440" windowHeight="10320" activeTab="1" xr2:uid="{6F46E828-8FFD-4531-838C-1A16471CA10A}"/>
  </bookViews>
  <sheets>
    <sheet name="Knockout Matches" sheetId="1" r:id="rId1"/>
    <sheet name="Knockout Grid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4" i="1" l="1" a="1"/>
  <c r="G4" i="1" s="1"/>
  <c r="D4" i="1" a="1"/>
  <c r="D4" i="1" s="1"/>
  <c r="G3" i="1" a="1"/>
  <c r="G3" i="1" s="1"/>
  <c r="G2" i="1" a="1"/>
  <c r="G2" i="1" s="1"/>
  <c r="D3" i="1" a="1"/>
  <c r="D3" i="1" s="1"/>
  <c r="D2" i="1" a="1"/>
  <c r="D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<sst xmlns="http://schemas.openxmlformats.org/spreadsheetml/2006/main" count="41" uniqueCount="28">
  <si>
    <t>Match</t>
  </si>
  <si>
    <t>Round</t>
  </si>
  <si>
    <t>id</t>
  </si>
  <si>
    <t>Name 1</t>
  </si>
  <si>
    <t>Club 1</t>
  </si>
  <si>
    <t>Name 2</t>
  </si>
  <si>
    <t>Club 2</t>
  </si>
  <si>
    <t>Score 1</t>
  </si>
  <si>
    <t>Score 2</t>
  </si>
  <si>
    <t>S</t>
  </si>
  <si>
    <t>F</t>
  </si>
  <si>
    <t>RAVENS TTC SENIER TOURNAMENT 2026</t>
  </si>
  <si>
    <t>Semi Finals</t>
  </si>
  <si>
    <t>Finals</t>
  </si>
  <si>
    <t>LADIES OPEN</t>
  </si>
  <si>
    <t>Saturday</t>
  </si>
  <si>
    <t>Day</t>
  </si>
  <si>
    <t>Date</t>
  </si>
  <si>
    <t>Time</t>
  </si>
  <si>
    <t>Table</t>
  </si>
  <si>
    <t>Musfiquh Kalam</t>
  </si>
  <si>
    <t xml:space="preserve">Boundary </t>
  </si>
  <si>
    <t>Angeline Wood</t>
  </si>
  <si>
    <t>Ravens</t>
  </si>
  <si>
    <t>Janine Sait</t>
  </si>
  <si>
    <t>Community House</t>
  </si>
  <si>
    <t>Tazmin Haris</t>
  </si>
  <si>
    <t>Duinefontein TTC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</si>
</sst>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26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Alignment="1">
      <alignment horizontal="right"/>
    </xf>
    <xf numFmtId="0" fontId="3" fillId="0" borderId="0" xfId="0" applyFont="1" applyAlignment="1">
      <alignment horizontal="center"/>
    </xf>
    <xf numFmtId="0" fontId="3" fillId="0" borderId="0" xfId="0" applyFont="1"/>
    <xf numFmtId="0" fontId="2" fillId="0" borderId="0" xfId="0" applyFont="1"/>
    <xf numFmtId="0" fontId="0" fillId="0" borderId="5" xfId="0" applyBorder="1" applyAlignment="1">
      <alignment horizontal="left"/>
    </xf>
    <xf numFmtId="0" fontId="0" fillId="0" borderId="6" xfId="0" applyBorder="1" applyAlignment="1">
      <alignment horizontal="right"/>
    </xf>
    <xf numFmtId="0" fontId="0" fillId="0" borderId="7" xfId="0" applyBorder="1"/>
    <xf numFmtId="0" fontId="0" fillId="0" borderId="0" xfId="0" applyAlignment="1">
      <alignment horizontal="center"/>
    </xf>
    <xf numFmtId="16" fontId="0" fillId="0" borderId="0" xfId="0" applyNumberFormat="1" applyAlignment="1">
      <alignment horizontal="center"/>
    </xf>
    <xf numFmtId="20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3"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264462-2C62-4CBE-957E-8C9D3A03D512}">
  <dimension ref="A1:M4"/>
  <sheetViews>
    <sheetView workbookViewId="0">
      <selection activeCell="M8" sqref="M8"/>
    </sheetView>
  </sheetViews>
  <sheetFormatPr defaultRowHeight="15" x14ac:dyDescent="0.25"/>
  <sheetData>
    <row r="1" spans="1:13" x14ac:dyDescent="0.25">
      <c r="A1" t="s">
        <v>2</v>
      </c>
      <c r="B1" t="s">
        <v>0</v>
      </c>
      <c r="C1" t="s">
        <v>1</v>
      </c>
      <c r="D1" t="s">
        <v>3</v>
      </c>
      <c r="E1" t="s">
        <v>4</v>
      </c>
      <c r="F1" t="s">
        <v>7</v>
      </c>
      <c r="G1" t="s">
        <v>5</v>
      </c>
      <c r="H1" t="s">
        <v>6</v>
      </c>
      <c r="I1" t="s">
        <v>8</v>
      </c>
      <c r="J1" t="s">
        <v>16</v>
      </c>
      <c r="K1" t="s">
        <v>17</v>
      </c>
      <c r="L1" t="s">
        <v>18</v>
      </c>
      <c r="M1" t="s">
        <v>19</v>
      </c>
    </row>
    <row r="2" spans="1:13" x14ac:dyDescent="0.25">
      <c r="A2">
        <v>29</v>
      </c>
      <c r="B2">
        <v>1</v>
      </c>
      <c r="C2" t="s">
        <v>9</v>
      </c>
      <c r="D2" t="str" cm="1">
        <f t="array" ref="D2:F2">'Knockout Grid'!A6:C6</f>
        <v>Musfiquh Kalam</v>
      </c>
      <c r="E2" t="str">
        <v xml:space="preserve">Boundary </v>
      </c>
      <c r="F2">
        <v>3</v>
      </c>
      <c r="G2" t="str" cm="1">
        <f t="array" ref="G2:I2">'Knockout Grid'!A7:C7</f>
        <v>Tazmin Haris</v>
      </c>
      <c r="H2" t="str">
        <v>Duinefontein TTC</v>
      </c>
      <c r="I2">
        <v>0</v>
      </c>
      <c r="J2" s="12" t="s">
        <v>15</v>
      </c>
      <c r="K2" s="13">
        <v>46172</v>
      </c>
      <c r="L2" s="14">
        <v>0.75</v>
      </c>
      <c r="M2">
        <v>1</v>
      </c>
    </row>
    <row r="3" spans="1:13" x14ac:dyDescent="0.25">
      <c r="A3">
        <v>30</v>
      </c>
      <c r="B3">
        <v>2</v>
      </c>
      <c r="C3" t="s">
        <v>9</v>
      </c>
      <c r="D3" t="str" cm="1">
        <f t="array" ref="D3:F3">'Knockout Grid'!A38:C38</f>
        <v>Angeline Wood</v>
      </c>
      <c r="E3" t="str">
        <v>Ravens</v>
      </c>
      <c r="F3">
        <v>3</v>
      </c>
      <c r="G3" t="str" cm="1">
        <f t="array" ref="G3:I3">'Knockout Grid'!A39:C39</f>
        <v>Janine Sait</v>
      </c>
      <c r="H3" t="str">
        <v>Community House</v>
      </c>
      <c r="I3">
        <v>0</v>
      </c>
      <c r="J3" s="12" t="s">
        <v>15</v>
      </c>
      <c r="K3" s="13">
        <v>46172</v>
      </c>
      <c r="L3" s="14">
        <v>0.75</v>
      </c>
      <c r="M3">
        <v>2</v>
      </c>
    </row>
    <row r="4" spans="1:13" x14ac:dyDescent="0.25">
      <c r="A4">
        <v>31</v>
      </c>
      <c r="B4">
        <v>1</v>
      </c>
      <c r="C4" t="s">
        <v>10</v>
      </c>
      <c r="D4" t="str" cm="1">
        <f t="array" ref="D4:F4">'Knockout Grid'!F22:H22</f>
        <v>Musfiquh Kalam</v>
      </c>
      <c r="E4" t="str">
        <v xml:space="preserve">Boundary </v>
      </c>
      <c r="F4">
        <v>3</v>
      </c>
      <c r="G4" t="str" cm="1">
        <f t="array" ref="G4:I4">'Knockout Grid'!F23:H23</f>
        <v>Angeline Wood</v>
      </c>
      <c r="H4" t="str">
        <v>Ravens</v>
      </c>
      <c r="I4">
        <v>0</v>
      </c>
      <c r="J4" s="12" t="s">
        <v>15</v>
      </c>
      <c r="K4" s="13">
        <v>46172</v>
      </c>
      <c r="L4" s="14">
        <v>0.79166666666666663</v>
      </c>
      <c r="M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7C131C-9499-49FA-A3C3-1CBBE3F28108}">
  <sheetPr>
    <pageSetUpPr fitToPage="1"/>
  </sheetPr>
  <dimension ref="A1:W40"/>
  <sheetViews>
    <sheetView tabSelected="1" topLeftCell="A9" zoomScale="85" zoomScaleNormal="85" workbookViewId="0">
      <selection activeCell="I26" sqref="I26"/>
    </sheetView>
  </sheetViews>
  <sheetFormatPr defaultRowHeight="15" x14ac:dyDescent="0.25"/>
  <cols>
    <col min="2" max="2" width="13.140625" bestFit="1" customWidth="1"/>
    <col min="3" max="3" width="10.5703125" bestFit="1" customWidth="1"/>
    <col min="4" max="4" width="5" customWidth="1"/>
    <col min="5" max="5" width="2.5703125" customWidth="1"/>
  </cols>
  <sheetData>
    <row r="1" spans="1:23" ht="34.5" x14ac:dyDescent="0.55000000000000004">
      <c r="A1" s="15" t="s">
        <v>11</v>
      </c>
      <c r="B1" s="15"/>
      <c r="C1" s="15"/>
      <c r="D1" s="15"/>
      <c r="E1" s="15"/>
      <c r="F1" s="15"/>
      <c r="G1" s="15"/>
      <c r="H1" s="15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</row>
    <row r="2" spans="1:23" ht="34.5" x14ac:dyDescent="0.55000000000000004">
      <c r="A2" s="16" t="s">
        <v>14</v>
      </c>
      <c r="B2" s="16"/>
      <c r="C2" s="16"/>
      <c r="D2" s="16"/>
      <c r="E2" s="16"/>
      <c r="F2" s="16"/>
      <c r="G2" s="16"/>
      <c r="H2" s="16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</row>
    <row r="3" spans="1:23" ht="26.25" x14ac:dyDescent="0.4">
      <c r="A3" s="15" t="s">
        <v>12</v>
      </c>
      <c r="B3" s="15"/>
      <c r="C3" s="15"/>
      <c r="D3" s="7"/>
      <c r="E3" s="7"/>
      <c r="F3" s="15" t="s">
        <v>13</v>
      </c>
      <c r="G3" s="15"/>
      <c r="H3" s="15"/>
    </row>
    <row r="4" spans="1:23" ht="17.25" customHeight="1" x14ac:dyDescent="0.4">
      <c r="A4" s="12" t="s">
        <v>15</v>
      </c>
      <c r="B4" s="13">
        <v>46172</v>
      </c>
      <c r="C4" s="14">
        <v>0.75</v>
      </c>
      <c r="D4">
        <v>1</v>
      </c>
      <c r="E4" s="7"/>
      <c r="F4" s="6"/>
      <c r="G4" s="6"/>
      <c r="H4" s="6"/>
    </row>
    <row r="5" spans="1:23" x14ac:dyDescent="0.25">
      <c r="A5">
        <v>29</v>
      </c>
      <c r="B5" s="5" t="s">
        <v>9</v>
      </c>
      <c r="C5">
        <v>1</v>
      </c>
    </row>
    <row r="6" spans="1:23" x14ac:dyDescent="0.25">
      <c r="A6" s="9" t="s">
        <v>20</v>
      </c>
      <c r="B6" s="10" t="s">
        <v>21</v>
      </c>
      <c r="C6" s="11">
        <v>3</v>
      </c>
      <c r="D6" s="2"/>
    </row>
    <row r="7" spans="1:23" x14ac:dyDescent="0.25">
      <c r="A7" s="9" t="s">
        <v>26</v>
      </c>
      <c r="B7" s="10" t="s">
        <v>27</v>
      </c>
      <c r="C7" s="11">
        <v>0</v>
      </c>
      <c r="D7" s="1"/>
    </row>
    <row r="8" spans="1:23" x14ac:dyDescent="0.25">
      <c r="B8" s="5"/>
      <c r="D8" s="3"/>
    </row>
    <row r="9" spans="1:23" x14ac:dyDescent="0.25">
      <c r="D9" s="3"/>
    </row>
    <row r="10" spans="1:23" x14ac:dyDescent="0.25">
      <c r="D10" s="3"/>
    </row>
    <row r="11" spans="1:23" x14ac:dyDescent="0.25">
      <c r="D11" s="3"/>
    </row>
    <row r="12" spans="1:23" x14ac:dyDescent="0.25">
      <c r="D12" s="3"/>
    </row>
    <row r="13" spans="1:23" x14ac:dyDescent="0.25">
      <c r="D13" s="3"/>
    </row>
    <row r="14" spans="1:23" x14ac:dyDescent="0.25">
      <c r="D14" s="3"/>
    </row>
    <row r="15" spans="1:23" x14ac:dyDescent="0.25">
      <c r="D15" s="3"/>
    </row>
    <row r="16" spans="1:23" x14ac:dyDescent="0.25">
      <c r="D16" s="3"/>
    </row>
    <row r="17" spans="4:9" x14ac:dyDescent="0.25">
      <c r="D17" s="3"/>
    </row>
    <row r="18" spans="4:9" x14ac:dyDescent="0.25">
      <c r="D18" s="3"/>
    </row>
    <row r="19" spans="4:9" x14ac:dyDescent="0.25">
      <c r="D19" s="3"/>
    </row>
    <row r="20" spans="4:9" x14ac:dyDescent="0.25">
      <c r="D20" s="3"/>
      <c r="F20" s="12" t="s">
        <v>15</v>
      </c>
      <c r="G20" s="13">
        <v>46172</v>
      </c>
      <c r="H20" s="14">
        <v>0.79166666666666663</v>
      </c>
      <c r="I20">
        <v>1</v>
      </c>
    </row>
    <row r="21" spans="4:9" x14ac:dyDescent="0.25">
      <c r="D21" s="3"/>
      <c r="F21">
        <v>31</v>
      </c>
      <c r="G21" s="5" t="s">
        <v>10</v>
      </c>
      <c r="H21">
        <v>1</v>
      </c>
    </row>
    <row r="22" spans="4:9" x14ac:dyDescent="0.25">
      <c r="D22" s="3"/>
      <c r="E22" s="2"/>
      <c r="F22" s="9" t="s">
        <v>20</v>
      </c>
      <c r="G22" s="10" t="s">
        <v>21</v>
      </c>
      <c r="H22" s="11">
        <v>3</v>
      </c>
    </row>
    <row r="23" spans="4:9" x14ac:dyDescent="0.25">
      <c r="D23" s="3"/>
      <c r="F23" s="9" t="s">
        <v>22</v>
      </c>
      <c r="G23" s="10" t="s">
        <v>23</v>
      </c>
      <c r="H23" s="11">
        <v>0</v>
      </c>
    </row>
    <row r="24" spans="4:9" x14ac:dyDescent="0.25">
      <c r="D24" s="3"/>
      <c r="G24" s="5"/>
    </row>
    <row r="25" spans="4:9" x14ac:dyDescent="0.25">
      <c r="D25" s="3"/>
    </row>
    <row r="26" spans="4:9" x14ac:dyDescent="0.25">
      <c r="D26" s="3"/>
    </row>
    <row r="27" spans="4:9" x14ac:dyDescent="0.25">
      <c r="D27" s="3"/>
    </row>
    <row r="28" spans="4:9" x14ac:dyDescent="0.25">
      <c r="D28" s="3"/>
    </row>
    <row r="29" spans="4:9" x14ac:dyDescent="0.25">
      <c r="D29" s="3"/>
    </row>
    <row r="30" spans="4:9" x14ac:dyDescent="0.25">
      <c r="D30" s="3"/>
    </row>
    <row r="31" spans="4:9" x14ac:dyDescent="0.25">
      <c r="D31" s="3"/>
    </row>
    <row r="32" spans="4:9" x14ac:dyDescent="0.25">
      <c r="D32" s="3"/>
    </row>
    <row r="33" spans="1:4" x14ac:dyDescent="0.25">
      <c r="D33" s="3"/>
    </row>
    <row r="34" spans="1:4" x14ac:dyDescent="0.25">
      <c r="D34" s="3"/>
    </row>
    <row r="35" spans="1:4" x14ac:dyDescent="0.25">
      <c r="D35" s="3"/>
    </row>
    <row r="36" spans="1:4" x14ac:dyDescent="0.25">
      <c r="A36" s="12" t="s">
        <v>15</v>
      </c>
      <c r="B36" s="13">
        <v>46172</v>
      </c>
      <c r="C36" s="14">
        <v>0.75</v>
      </c>
      <c r="D36" s="3">
        <v>2</v>
      </c>
    </row>
    <row r="37" spans="1:4" x14ac:dyDescent="0.25">
      <c r="A37">
        <v>30</v>
      </c>
      <c r="B37" s="5" t="s">
        <v>9</v>
      </c>
      <c r="C37">
        <v>2</v>
      </c>
      <c r="D37" s="3"/>
    </row>
    <row r="38" spans="1:4" x14ac:dyDescent="0.25">
      <c r="A38" s="9" t="s">
        <v>22</v>
      </c>
      <c r="B38" s="10" t="s">
        <v>23</v>
      </c>
      <c r="C38" s="11">
        <v>3</v>
      </c>
      <c r="D38" s="4"/>
    </row>
    <row r="39" spans="1:4" x14ac:dyDescent="0.25">
      <c r="A39" s="9" t="s">
        <v>24</v>
      </c>
      <c r="B39" s="10" t="s">
        <v>25</v>
      </c>
      <c r="C39" s="11">
        <v>0</v>
      </c>
    </row>
    <row r="40" spans="1:4" x14ac:dyDescent="0.25">
      <c r="B40" s="5"/>
    </row>
  </sheetData>
  <mergeCells count="4">
    <mergeCell ref="A1:H1"/>
    <mergeCell ref="A2:H2"/>
    <mergeCell ref="A3:C3"/>
    <mergeCell ref="F3:H3"/>
  </mergeCells>
  <phoneticPr fontId="1" type="noConversion"/>
  <conditionalFormatting sqref="A6:A7">
    <cfRule type="containsText" dxfId="2" priority="5" operator="containsText" text="Bye">
      <formula>NOT(ISERROR(SEARCH("Bye",A6)))</formula>
    </cfRule>
  </conditionalFormatting>
  <conditionalFormatting sqref="A38:A39">
    <cfRule type="containsText" dxfId="1" priority="2" operator="containsText" text="Bye">
      <formula>NOT(ISERROR(SEARCH("Bye",A38)))</formula>
    </cfRule>
  </conditionalFormatting>
  <conditionalFormatting sqref="F22:F23">
    <cfRule type="containsText" dxfId="0" priority="1" operator="containsText" text="Bye">
      <formula>NOT(ISERROR(SEARCH("Bye",F22)))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Knockout Matches</vt:lpstr>
      <vt:lpstr>Knockout Grid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Joshua Du Plooy</dc:creator>
  <cp:lastModifiedBy>Joshua Du Plooy</cp:lastModifiedBy>
  <cp:lastPrinted>2026-05-28T10:56:38Z</cp:lastPrinted>
  <dcterms:created xsi:type="dcterms:W3CDTF">2026-05-27T11:47:13Z</dcterms:created>
  <dcterms:modified xsi:type="dcterms:W3CDTF">2026-05-30T16:59:21Z</dcterms:modified>
</cp:coreProperties>
</file>