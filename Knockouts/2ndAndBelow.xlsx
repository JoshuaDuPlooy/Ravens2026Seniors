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1BAD0D5A-3AB9-456A-A693-CBF4B4356045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<sst xmlns="http://schemas.openxmlformats.org/spreadsheetml/2006/main" count="174" uniqueCount="58">
  <si>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</si>
  <si>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</si>
  <si>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</si>
  <si>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</si>
  <si>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</si>
  <si>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</si>
  <si>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</si>
  <si>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</si>
  <si>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</si>
  <si>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</si>
  <si>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</si>
  <si>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</si>
  <si>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</si>
  <si>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</si>
  <si>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</si>
  <si>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</si>
  <si>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</si>
  <si>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</si>
  <si>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</si>
  <si>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</si>
  <si>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</si>
  <si>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</si>
  <si>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</si>
  <si>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</si>
  <si>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</si>
  <si>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</si>
  <si>
    <t>Amien Phillips</t>
  </si>
  <si>
    <t>NEXUS</t>
  </si>
  <si>
    <t>Delton Alexander</t>
  </si>
  <si>
    <t>Goodwood</t>
  </si>
  <si>
    <t>Craig Fortuin</t>
  </si>
  <si>
    <t>Abubakr Manuel</t>
  </si>
  <si>
    <t>MP Royals</t>
  </si>
  <si>
    <t>Saaliegh Jabaar</t>
  </si>
  <si>
    <t>Ethan Hinrichsen</t>
  </si>
  <si>
    <t>UCT</t>
  </si>
  <si>
    <t>Community House</t>
  </si>
  <si>
    <t>Sedick Abrahams</t>
  </si>
  <si>
    <t>STEPH'S</t>
  </si>
  <si>
    <t>Brendan o' Connell</t>
  </si>
  <si>
    <t>Tian Louw</t>
  </si>
  <si>
    <t>Maties</t>
  </si>
  <si>
    <t>Janine Sait</t>
  </si>
  <si>
    <t>Adam Domingo</t>
  </si>
  <si>
    <t>Duinefontein TTC</t>
  </si>
  <si>
    <t>DJ Swanevelder</t>
  </si>
  <si>
    <t>Musfiquh Kalam</t>
  </si>
  <si>
    <t xml:space="preserve">Boundary </t>
  </si>
  <si>
    <t>Yaqeen Manuel</t>
  </si>
  <si>
    <t>Graham Van As</t>
  </si>
  <si>
    <t>Boundary</t>
  </si>
  <si>
    <t>Valentino Esau</t>
  </si>
  <si>
    <t>Mother City</t>
  </si>
  <si>
    <t>Allan Clark</t>
  </si>
  <si>
    <t>TOP</t>
  </si>
  <si>
    <t>Ilyaas Patel</t>
  </si>
  <si>
    <t xml:space="preserve"> 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</si>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</sst>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Musfiquh Kalam</v>
      </c>
      <c r="E2" t="str">
        <v xml:space="preserve">Boundary 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Abubakr Manuel</v>
      </c>
      <c r="H3" t="str">
        <v>MP Royals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Ethan Hinrichsen</v>
      </c>
      <c r="E4" t="str">
        <v>UCT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Adam Domingo</v>
      </c>
      <c r="H5" t="str">
        <v>Duinefontein TTC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Sedick Abrahams</v>
      </c>
      <c r="E6" t="str">
        <v>STEPH'S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Delton Alexander</v>
      </c>
      <c r="E7" t="str">
        <v>Goodwood</v>
      </c>
      <c r="F7">
        <v>0</v>
      </c>
      <c r="G7" t="str" cm="1">
        <f t="array" ref="G7:I7">'Knockout Grid'!A26:C26</f>
        <v>Janine Sait</v>
      </c>
      <c r="H7" t="str">
        <v>Community House</v>
      </c>
      <c r="I7">
        <v>3</v>
      </c>
      <c r="J7" s="6" t="s">
        <v>25</v>
      </c>
      <c r="K7" s="14">
        <v>46172</v>
      </c>
      <c r="L7" s="15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Ilyaas Patel</v>
      </c>
      <c r="E8" t="str">
        <v>MP Royals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Graham Van As</v>
      </c>
      <c r="H9" t="str">
        <v>Boundary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Tian Louw</v>
      </c>
      <c r="E10" t="str">
        <v>Maties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Brendan o' Connell</v>
      </c>
      <c r="H11" t="str">
        <v>Goodwood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Yaqeen Manuel</v>
      </c>
      <c r="E12" t="str">
        <v>MP Royals</v>
      </c>
      <c r="F12">
        <v>3</v>
      </c>
      <c r="G12" t="str" cm="1">
        <f t="array" ref="G12:I12">'Knockout Grid'!A46:C46</f>
        <v>Valentino Esau</v>
      </c>
      <c r="H12" t="str">
        <v>Mother City</v>
      </c>
      <c r="I12">
        <v>1</v>
      </c>
      <c r="J12" s="6" t="s">
        <v>25</v>
      </c>
      <c r="K12" s="14">
        <v>46172</v>
      </c>
      <c r="L12" s="15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Amien Phillips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Craig Fortuin</v>
      </c>
      <c r="E14" t="str">
        <v>NEXUS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Allan Clark</v>
      </c>
      <c r="H15" t="str">
        <v>TOP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DJ Swanevelder</v>
      </c>
      <c r="E16" t="str">
        <v>Maties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Saaliegh Jabaar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Musfiquh Kalam</v>
      </c>
      <c r="E18" t="str">
        <v xml:space="preserve">Boundary </v>
      </c>
      <c r="F18">
        <v>3</v>
      </c>
      <c r="G18" t="str" cm="1">
        <f t="array" ref="G18:I18">'Knockout Grid'!F8:H8</f>
        <v>Abubakr Manuel</v>
      </c>
      <c r="H18" t="str">
        <v>MP Royals</v>
      </c>
      <c r="I18">
        <v>0</v>
      </c>
      <c r="J18" s="6" t="s">
        <v>25</v>
      </c>
      <c r="K18" s="14">
        <v>46172</v>
      </c>
      <c r="L18" s="15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Ethan Hinrichsen</v>
      </c>
      <c r="E19" t="str">
        <v>UCT</v>
      </c>
      <c r="F19" t="str">
        <v>WO</v>
      </c>
      <c r="G19" t="str" cm="1">
        <f t="array" ref="G19:I19">'Knockout Grid'!F16:H16</f>
        <v>Adam Domingo</v>
      </c>
      <c r="H19" t="str">
        <v>Duinefontein TTC</v>
      </c>
      <c r="I19">
        <v>3</v>
      </c>
      <c r="J19" s="6" t="s">
        <v>25</v>
      </c>
      <c r="K19" s="14">
        <v>46172</v>
      </c>
      <c r="L19" s="15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Sedick Abrahams</v>
      </c>
      <c r="E20" t="str">
        <v>STEPH'S</v>
      </c>
      <c r="F20">
        <v>3</v>
      </c>
      <c r="G20" t="str" cm="1">
        <f t="array" ref="G20:I20">'Knockout Grid'!F24:H24</f>
        <v>Janine Sait</v>
      </c>
      <c r="H20" t="str">
        <v>Community House</v>
      </c>
      <c r="I20">
        <v>1</v>
      </c>
      <c r="J20" s="6" t="s">
        <v>25</v>
      </c>
      <c r="K20" s="14">
        <v>46172</v>
      </c>
      <c r="L20" s="15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Ilyaas Patel</v>
      </c>
      <c r="E21" t="str">
        <v>MP Royals</v>
      </c>
      <c r="F21">
        <v>3</v>
      </c>
      <c r="G21" t="str" cm="1">
        <f t="array" ref="G21:I21">'Knockout Grid'!F32:H32</f>
        <v>Graham Van As</v>
      </c>
      <c r="H21" t="str">
        <v>Boundary</v>
      </c>
      <c r="I21">
        <v>0</v>
      </c>
      <c r="J21" s="6" t="s">
        <v>25</v>
      </c>
      <c r="K21" s="14">
        <v>46172</v>
      </c>
      <c r="L21" s="15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Tian Louw</v>
      </c>
      <c r="E22" t="str">
        <v>Maties</v>
      </c>
      <c r="F22">
        <v>3</v>
      </c>
      <c r="G22" t="str" cm="1">
        <f t="array" ref="G22:I22">'Knockout Grid'!F40:H40</f>
        <v>Brendan o' Connell</v>
      </c>
      <c r="H22" t="str">
        <v>Goodwood</v>
      </c>
      <c r="I22">
        <v>1</v>
      </c>
      <c r="J22" s="6" t="s">
        <v>25</v>
      </c>
      <c r="K22" s="14">
        <v>46172</v>
      </c>
      <c r="L22" s="15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Valentino Esau</v>
      </c>
      <c r="E23" t="str">
        <v>Mother City</v>
      </c>
      <c r="F23">
        <v>2</v>
      </c>
      <c r="G23" t="str" cm="1">
        <f t="array" ref="G23:I23">'Knockout Grid'!F48:H48</f>
        <v>Amien Phillips</v>
      </c>
      <c r="H23" t="str">
        <v>NEXUS</v>
      </c>
      <c r="I23">
        <v>3</v>
      </c>
      <c r="J23" s="6" t="s">
        <v>25</v>
      </c>
      <c r="K23" s="14">
        <v>46172</v>
      </c>
      <c r="L23" s="15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Craig Fortuin</v>
      </c>
      <c r="E24" t="str">
        <v>NEXUS</v>
      </c>
      <c r="F24">
        <v>3</v>
      </c>
      <c r="G24" t="str" cm="1">
        <f t="array" ref="G24:I24">'Knockout Grid'!F56:H56</f>
        <v>Allan Clark</v>
      </c>
      <c r="H24" t="str">
        <v>TOP</v>
      </c>
      <c r="I24">
        <v>1</v>
      </c>
      <c r="J24" s="6" t="s">
        <v>25</v>
      </c>
      <c r="K24" s="14">
        <v>46172</v>
      </c>
      <c r="L24" s="15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DJ Swanevelder</v>
      </c>
      <c r="E25" t="str">
        <v>Maties</v>
      </c>
      <c r="F25">
        <v>3</v>
      </c>
      <c r="G25" t="str" cm="1">
        <f t="array" ref="G25:I25">'Knockout Grid'!F64:H64</f>
        <v>Saaliegh Jabaar</v>
      </c>
      <c r="H25" t="str">
        <v>NEXUS</v>
      </c>
      <c r="I25">
        <v>0</v>
      </c>
      <c r="J25" s="6" t="s">
        <v>25</v>
      </c>
      <c r="K25" s="14">
        <v>46172</v>
      </c>
      <c r="L25" s="15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Musfiquh Kalam</v>
      </c>
      <c r="E26" t="str">
        <v xml:space="preserve">Boundary </v>
      </c>
      <c r="F26">
        <v>3</v>
      </c>
      <c r="G26" t="str" cm="1">
        <f t="array" ref="G26:I26">'Knockout Grid'!K12:M12</f>
        <v>Adam Domingo</v>
      </c>
      <c r="H26" t="str">
        <v>Duinefontein TTC</v>
      </c>
      <c r="I26">
        <v>1</v>
      </c>
      <c r="J26" s="6" t="s">
        <v>25</v>
      </c>
      <c r="K26" s="14">
        <v>46172</v>
      </c>
      <c r="L26" s="15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Sedick Abrahams</v>
      </c>
      <c r="E27" t="str">
        <v>STEPH'S</v>
      </c>
      <c r="F27">
        <v>3</v>
      </c>
      <c r="G27" t="str" cm="1">
        <f t="array" ref="G27:I27">'Knockout Grid'!K28:M28</f>
        <v>Ilyaas Patel</v>
      </c>
      <c r="H27" t="str">
        <v>MP Royals</v>
      </c>
      <c r="I27">
        <v>0</v>
      </c>
      <c r="J27" s="6" t="s">
        <v>25</v>
      </c>
      <c r="K27" s="14">
        <v>46172</v>
      </c>
      <c r="L27" s="15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Tian Louw</v>
      </c>
      <c r="E28" t="str">
        <v>Maties</v>
      </c>
      <c r="F28">
        <v>3</v>
      </c>
      <c r="G28" t="str" cm="1">
        <f t="array" ref="G28:I28">'Knockout Grid'!K44:M44</f>
        <v>Amien Phillips</v>
      </c>
      <c r="H28" t="str">
        <v>NEXUS</v>
      </c>
      <c r="I28">
        <v>2</v>
      </c>
      <c r="J28" s="6" t="s">
        <v>25</v>
      </c>
      <c r="K28" s="14">
        <v>46172</v>
      </c>
      <c r="L28" s="15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Craig Fortuin</v>
      </c>
      <c r="E29" t="str">
        <v>NEXUS</v>
      </c>
      <c r="F29">
        <v>1</v>
      </c>
      <c r="G29" t="str" cm="1">
        <f t="array" ref="G29:I29">'Knockout Grid'!K60:M60</f>
        <v>DJ Swanevelder</v>
      </c>
      <c r="H29" t="str">
        <v>Maties</v>
      </c>
      <c r="I29">
        <v>3</v>
      </c>
      <c r="J29" s="6" t="s">
        <v>25</v>
      </c>
      <c r="K29" s="14">
        <v>46172</v>
      </c>
      <c r="L29" s="15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Musfiquh Kalam</v>
      </c>
      <c r="E30" t="str">
        <v xml:space="preserve">Boundary </v>
      </c>
      <c r="F30">
        <v>0</v>
      </c>
      <c r="G30" t="str" cm="1">
        <f t="array" ref="G30:I30">'Knockout Grid'!P20:R20</f>
        <v>Sedick Abrahams</v>
      </c>
      <c r="H30" t="str">
        <v>STEPH'S</v>
      </c>
      <c r="I30">
        <v>0</v>
      </c>
      <c r="J30" s="6" t="s">
        <v>25</v>
      </c>
      <c r="K30" s="14">
        <v>46172</v>
      </c>
      <c r="L30" s="15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Tian Louw</v>
      </c>
      <c r="E31" t="str">
        <v>Maties</v>
      </c>
      <c r="F31">
        <v>0</v>
      </c>
      <c r="G31" t="str" cm="1">
        <f t="array" ref="G31:I31">'Knockout Grid'!P52:R52</f>
        <v>DJ Swanevelder</v>
      </c>
      <c r="H31" t="str">
        <v>Maties</v>
      </c>
      <c r="I31">
        <v>0</v>
      </c>
      <c r="J31" s="6" t="s">
        <v>25</v>
      </c>
      <c r="K31" s="14">
        <v>46172</v>
      </c>
      <c r="L31" s="15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25</v>
      </c>
      <c r="K32" s="14">
        <v>46172</v>
      </c>
      <c r="L32" s="15">
        <v>0.77083333333333337</v>
      </c>
      <c r="M32">
        <v>2</v>
      </c>
    </row>
  </sheetData>
  <conditionalFormatting sqref="J7">
    <cfRule type="containsText" dxfId="31" priority="47" operator="containsText" text="Bye">
      <formula>NOT(ISERROR(SEARCH("Bye",J7)))</formula>
    </cfRule>
  </conditionalFormatting>
  <conditionalFormatting sqref="J12">
    <cfRule type="containsText" dxfId="30" priority="46" operator="containsText" text="Bye">
      <formula>NOT(ISERROR(SEARCH("Bye",J12)))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zoomScale="85" zoomScaleNormal="85" workbookViewId="0">
      <selection activeCell="R60" sqref="R60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19</v>
      </c>
      <c r="B3" s="18"/>
      <c r="C3" s="18"/>
      <c r="D3" s="13"/>
      <c r="E3" s="13"/>
      <c r="F3" s="18" t="s">
        <v>20</v>
      </c>
      <c r="G3" s="18"/>
      <c r="H3" s="18"/>
      <c r="I3" s="13"/>
      <c r="J3" s="13"/>
      <c r="K3" s="18" t="s">
        <v>21</v>
      </c>
      <c r="L3" s="18"/>
      <c r="M3" s="18"/>
      <c r="N3" s="13"/>
      <c r="O3" s="13"/>
      <c r="P3" s="18" t="s">
        <v>22</v>
      </c>
      <c r="Q3" s="18"/>
      <c r="R3" s="18"/>
      <c r="S3" s="13"/>
      <c r="T3" s="13"/>
      <c r="U3" s="18" t="s">
        <v>23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46</v>
      </c>
      <c r="B5" s="11" t="s">
        <v>47</v>
      </c>
      <c r="C5" s="10"/>
      <c r="D5" s="2"/>
      <c r="F5" s="6" t="s">
        <v>25</v>
      </c>
      <c r="G5" s="14">
        <v>46172</v>
      </c>
      <c r="H5" s="15">
        <v>0.66666666666666663</v>
      </c>
      <c r="I5">
        <v>1</v>
      </c>
    </row>
    <row r="6" spans="1:23" x14ac:dyDescent="0.25">
      <c r="A6" s="12" t="s">
        <v>13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 t="s">
        <v>46</v>
      </c>
      <c r="G7" s="11" t="s">
        <v>47</v>
      </c>
      <c r="H7" s="10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8" t="s">
        <v>31</v>
      </c>
      <c r="G8" s="11" t="s">
        <v>32</v>
      </c>
      <c r="H8" s="10">
        <v>0</v>
      </c>
      <c r="I8" s="1"/>
    </row>
    <row r="9" spans="1:23" x14ac:dyDescent="0.25">
      <c r="A9" s="8" t="s">
        <v>13</v>
      </c>
      <c r="B9" s="11"/>
      <c r="C9" s="10"/>
      <c r="D9" s="5"/>
      <c r="I9" s="4"/>
      <c r="K9" s="6" t="s">
        <v>25</v>
      </c>
      <c r="L9" s="14">
        <v>46172</v>
      </c>
      <c r="M9" s="15">
        <v>0.72916666666666663</v>
      </c>
      <c r="N9">
        <v>5</v>
      </c>
    </row>
    <row r="10" spans="1:23" x14ac:dyDescent="0.25">
      <c r="A10" s="8" t="s">
        <v>31</v>
      </c>
      <c r="B10" s="11" t="s">
        <v>32</v>
      </c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 t="s">
        <v>46</v>
      </c>
      <c r="L11" s="9" t="s">
        <v>47</v>
      </c>
      <c r="M11" s="10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 t="s">
        <v>43</v>
      </c>
      <c r="L12" s="9" t="s">
        <v>44</v>
      </c>
      <c r="M12" s="10">
        <v>1</v>
      </c>
      <c r="N12" s="1"/>
    </row>
    <row r="13" spans="1:23" x14ac:dyDescent="0.25">
      <c r="A13" s="8" t="s">
        <v>34</v>
      </c>
      <c r="B13" s="11" t="s">
        <v>35</v>
      </c>
      <c r="C13" s="10"/>
      <c r="D13" s="2"/>
      <c r="F13" s="6" t="s">
        <v>25</v>
      </c>
      <c r="G13" s="14">
        <v>46172</v>
      </c>
      <c r="H13" s="15">
        <v>0.66666666666666663</v>
      </c>
      <c r="I13" s="4">
        <v>2</v>
      </c>
      <c r="N13" s="4"/>
    </row>
    <row r="14" spans="1:23" x14ac:dyDescent="0.25">
      <c r="A14" s="8" t="s">
        <v>13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 t="s">
        <v>34</v>
      </c>
      <c r="G15" s="11" t="s">
        <v>35</v>
      </c>
      <c r="H15" s="10" t="s">
        <v>57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 t="s">
        <v>43</v>
      </c>
      <c r="G16" s="11" t="s">
        <v>44</v>
      </c>
      <c r="H16" s="10">
        <v>3</v>
      </c>
      <c r="N16" s="4"/>
    </row>
    <row r="17" spans="1:19" x14ac:dyDescent="0.25">
      <c r="A17" s="8" t="s">
        <v>13</v>
      </c>
      <c r="B17" s="11"/>
      <c r="C17" s="10"/>
      <c r="D17" s="5"/>
      <c r="N17" s="4"/>
      <c r="P17" s="6" t="s">
        <v>25</v>
      </c>
      <c r="Q17" s="14">
        <v>46172</v>
      </c>
      <c r="R17" s="15">
        <v>0.77083333333333337</v>
      </c>
      <c r="S17">
        <v>3</v>
      </c>
    </row>
    <row r="18" spans="1:19" x14ac:dyDescent="0.25">
      <c r="A18" s="8" t="s">
        <v>43</v>
      </c>
      <c r="B18" s="11" t="s">
        <v>44</v>
      </c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 t="s">
        <v>46</v>
      </c>
      <c r="Q19" s="9" t="s">
        <v>47</v>
      </c>
      <c r="R19" s="10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 t="s">
        <v>37</v>
      </c>
      <c r="Q20" s="9" t="s">
        <v>38</v>
      </c>
      <c r="R20" s="10"/>
      <c r="S20" s="1"/>
    </row>
    <row r="21" spans="1:19" x14ac:dyDescent="0.25">
      <c r="A21" s="8" t="s">
        <v>37</v>
      </c>
      <c r="B21" s="11" t="s">
        <v>38</v>
      </c>
      <c r="C21" s="10"/>
      <c r="D21" s="2"/>
      <c r="F21" s="6" t="s">
        <v>25</v>
      </c>
      <c r="G21" s="14">
        <v>46172</v>
      </c>
      <c r="H21" s="15">
        <v>0.66666666666666663</v>
      </c>
      <c r="I21">
        <v>3</v>
      </c>
      <c r="N21" s="4"/>
      <c r="Q21" s="7"/>
      <c r="S21" s="4"/>
    </row>
    <row r="22" spans="1:19" x14ac:dyDescent="0.25">
      <c r="A22" s="8" t="s">
        <v>13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25</v>
      </c>
      <c r="B23" s="14">
        <v>46172</v>
      </c>
      <c r="C23" s="15">
        <v>0.625</v>
      </c>
      <c r="D23" s="4">
        <v>3</v>
      </c>
      <c r="E23" s="5"/>
      <c r="F23" s="8" t="s">
        <v>37</v>
      </c>
      <c r="G23" s="11" t="s">
        <v>38</v>
      </c>
      <c r="H23" s="10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 t="s">
        <v>42</v>
      </c>
      <c r="G24" s="11" t="s">
        <v>36</v>
      </c>
      <c r="H24" s="10">
        <v>1</v>
      </c>
      <c r="I24" s="1"/>
      <c r="N24" s="4"/>
      <c r="S24" s="4"/>
    </row>
    <row r="25" spans="1:19" x14ac:dyDescent="0.25">
      <c r="A25" s="8" t="s">
        <v>28</v>
      </c>
      <c r="B25" s="11" t="s">
        <v>29</v>
      </c>
      <c r="C25" s="10">
        <v>0</v>
      </c>
      <c r="D25" s="5"/>
      <c r="I25" s="4"/>
      <c r="K25" s="6" t="s">
        <v>25</v>
      </c>
      <c r="L25" s="14">
        <v>46172</v>
      </c>
      <c r="M25" s="15">
        <v>0.72916666666666663</v>
      </c>
      <c r="N25">
        <v>6</v>
      </c>
      <c r="O25" s="16"/>
      <c r="S25" s="4"/>
    </row>
    <row r="26" spans="1:19" x14ac:dyDescent="0.25">
      <c r="A26" s="8" t="s">
        <v>42</v>
      </c>
      <c r="B26" s="11" t="s">
        <v>36</v>
      </c>
      <c r="C26" s="10">
        <v>3</v>
      </c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 t="s">
        <v>37</v>
      </c>
      <c r="L27" s="9" t="s">
        <v>38</v>
      </c>
      <c r="M27" s="10">
        <v>3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 t="s">
        <v>55</v>
      </c>
      <c r="L28" s="9" t="s">
        <v>32</v>
      </c>
      <c r="M28" s="10">
        <v>0</v>
      </c>
      <c r="S28" s="4"/>
    </row>
    <row r="29" spans="1:19" x14ac:dyDescent="0.25">
      <c r="A29" s="8" t="s">
        <v>55</v>
      </c>
      <c r="B29" s="11" t="s">
        <v>32</v>
      </c>
      <c r="C29" s="10"/>
      <c r="D29" s="2"/>
      <c r="F29" s="6" t="s">
        <v>25</v>
      </c>
      <c r="G29" s="14">
        <v>46172</v>
      </c>
      <c r="H29" s="15">
        <v>0.66666666666666663</v>
      </c>
      <c r="I29">
        <v>4</v>
      </c>
      <c r="J29" s="16"/>
      <c r="S29" s="4"/>
    </row>
    <row r="30" spans="1:19" x14ac:dyDescent="0.25">
      <c r="A30" s="8" t="s">
        <v>13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 t="s">
        <v>55</v>
      </c>
      <c r="G31" s="11" t="s">
        <v>32</v>
      </c>
      <c r="H31" s="10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 t="s">
        <v>49</v>
      </c>
      <c r="G32" s="11" t="s">
        <v>50</v>
      </c>
      <c r="H32" s="10">
        <v>0</v>
      </c>
      <c r="S32" s="4"/>
    </row>
    <row r="33" spans="1:24" x14ac:dyDescent="0.25">
      <c r="A33" s="8" t="s">
        <v>13</v>
      </c>
      <c r="B33" s="11"/>
      <c r="C33" s="10"/>
      <c r="D33" s="5"/>
      <c r="S33" s="4"/>
    </row>
    <row r="34" spans="1:24" x14ac:dyDescent="0.25">
      <c r="A34" s="8" t="s">
        <v>49</v>
      </c>
      <c r="B34" s="11" t="s">
        <v>50</v>
      </c>
      <c r="C34" s="10"/>
      <c r="S34" s="4"/>
      <c r="U34" s="6" t="s">
        <v>25</v>
      </c>
      <c r="V34" s="14">
        <v>46172</v>
      </c>
      <c r="W34" s="15">
        <v>0.77083333333333337</v>
      </c>
      <c r="X34">
        <v>2</v>
      </c>
    </row>
    <row r="35" spans="1:24" x14ac:dyDescent="0.25">
      <c r="S35" s="4"/>
      <c r="T35" s="2"/>
      <c r="U35" s="8"/>
      <c r="V35" s="9"/>
      <c r="W35" s="10"/>
    </row>
    <row r="36" spans="1:24" x14ac:dyDescent="0.25">
      <c r="A36" s="6">
        <v>9</v>
      </c>
      <c r="B36">
        <v>32</v>
      </c>
      <c r="C36">
        <v>9</v>
      </c>
      <c r="S36" s="4"/>
      <c r="U36" s="8"/>
      <c r="V36" s="9"/>
      <c r="W36" s="10"/>
    </row>
    <row r="37" spans="1:24" x14ac:dyDescent="0.25">
      <c r="A37" s="8" t="s">
        <v>40</v>
      </c>
      <c r="B37" s="11" t="s">
        <v>41</v>
      </c>
      <c r="C37" s="10"/>
      <c r="D37" s="2"/>
      <c r="F37" s="6" t="s">
        <v>25</v>
      </c>
      <c r="G37" s="14">
        <v>46172</v>
      </c>
      <c r="H37" s="15">
        <v>0.66666666666666663</v>
      </c>
      <c r="I37">
        <v>5</v>
      </c>
      <c r="S37" s="4"/>
      <c r="V37" s="7"/>
    </row>
    <row r="38" spans="1:24" x14ac:dyDescent="0.25">
      <c r="A38" s="8" t="s">
        <v>13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 t="s">
        <v>40</v>
      </c>
      <c r="G39" s="11" t="s">
        <v>41</v>
      </c>
      <c r="H39" s="10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 t="s">
        <v>39</v>
      </c>
      <c r="G40" s="11" t="s">
        <v>29</v>
      </c>
      <c r="H40" s="10">
        <v>1</v>
      </c>
      <c r="I40" s="1"/>
      <c r="S40" s="4"/>
    </row>
    <row r="41" spans="1:24" x14ac:dyDescent="0.25">
      <c r="A41" s="8" t="s">
        <v>13</v>
      </c>
      <c r="B41" s="11"/>
      <c r="C41" s="10"/>
      <c r="D41" s="5"/>
      <c r="I41" s="4"/>
      <c r="K41" s="6" t="s">
        <v>25</v>
      </c>
      <c r="L41" s="14">
        <v>46172</v>
      </c>
      <c r="M41" s="15">
        <v>0.72916666666666663</v>
      </c>
      <c r="N41">
        <v>7</v>
      </c>
      <c r="S41" s="4"/>
    </row>
    <row r="42" spans="1:24" x14ac:dyDescent="0.25">
      <c r="A42" s="8" t="s">
        <v>39</v>
      </c>
      <c r="B42" s="11" t="s">
        <v>29</v>
      </c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25</v>
      </c>
      <c r="B43" s="14">
        <v>46172</v>
      </c>
      <c r="C43" s="15">
        <v>0.625</v>
      </c>
      <c r="D43">
        <v>3</v>
      </c>
      <c r="I43" s="4"/>
      <c r="J43" s="2"/>
      <c r="K43" s="8" t="s">
        <v>40</v>
      </c>
      <c r="L43" s="9" t="s">
        <v>41</v>
      </c>
      <c r="M43" s="10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F44" t="s">
        <v>56</v>
      </c>
      <c r="I44" s="4"/>
      <c r="K44" s="8" t="s">
        <v>26</v>
      </c>
      <c r="L44" s="9" t="s">
        <v>27</v>
      </c>
      <c r="M44" s="10">
        <v>2</v>
      </c>
      <c r="N44" s="1"/>
      <c r="S44" s="4"/>
    </row>
    <row r="45" spans="1:24" x14ac:dyDescent="0.25">
      <c r="A45" s="8" t="s">
        <v>48</v>
      </c>
      <c r="B45" s="11" t="s">
        <v>32</v>
      </c>
      <c r="C45" s="10">
        <v>3</v>
      </c>
      <c r="D45" s="2"/>
      <c r="F45" s="6" t="s">
        <v>25</v>
      </c>
      <c r="G45" s="14">
        <v>46172</v>
      </c>
      <c r="H45" s="15">
        <v>0.66666666666666663</v>
      </c>
      <c r="I45">
        <v>6</v>
      </c>
      <c r="J45" s="16"/>
      <c r="N45" s="4"/>
      <c r="S45" s="4"/>
    </row>
    <row r="46" spans="1:24" x14ac:dyDescent="0.25">
      <c r="A46" s="8" t="s">
        <v>51</v>
      </c>
      <c r="B46" s="11" t="s">
        <v>52</v>
      </c>
      <c r="C46" s="10">
        <v>1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 t="s">
        <v>51</v>
      </c>
      <c r="G47" s="11" t="s">
        <v>52</v>
      </c>
      <c r="H47" s="10">
        <v>2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 t="s">
        <v>26</v>
      </c>
      <c r="G48" s="11" t="s">
        <v>27</v>
      </c>
      <c r="H48" s="10">
        <v>3</v>
      </c>
      <c r="N48" s="4"/>
      <c r="S48" s="4"/>
    </row>
    <row r="49" spans="1:19" x14ac:dyDescent="0.25">
      <c r="A49" s="8" t="s">
        <v>13</v>
      </c>
      <c r="B49" s="11"/>
      <c r="C49" s="10"/>
      <c r="D49" s="5"/>
      <c r="N49" s="4"/>
      <c r="S49" s="4"/>
    </row>
    <row r="50" spans="1:19" x14ac:dyDescent="0.25">
      <c r="A50" s="8" t="s">
        <v>26</v>
      </c>
      <c r="B50" s="11" t="s">
        <v>27</v>
      </c>
      <c r="C50" s="10"/>
      <c r="N50" s="4"/>
      <c r="P50" s="6" t="s">
        <v>25</v>
      </c>
      <c r="Q50" s="14">
        <v>46172</v>
      </c>
      <c r="R50" s="15">
        <v>0.77083333333333337</v>
      </c>
      <c r="S50">
        <v>4</v>
      </c>
    </row>
    <row r="51" spans="1:19" x14ac:dyDescent="0.25">
      <c r="N51" s="4"/>
      <c r="O51" s="2"/>
      <c r="P51" s="8" t="s">
        <v>40</v>
      </c>
      <c r="Q51" s="9" t="s">
        <v>41</v>
      </c>
      <c r="R51" s="10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 t="s">
        <v>45</v>
      </c>
      <c r="Q52" s="9" t="s">
        <v>41</v>
      </c>
      <c r="R52" s="10"/>
    </row>
    <row r="53" spans="1:19" x14ac:dyDescent="0.25">
      <c r="A53" s="8" t="s">
        <v>30</v>
      </c>
      <c r="B53" s="11" t="s">
        <v>27</v>
      </c>
      <c r="C53" s="10"/>
      <c r="D53" s="2"/>
      <c r="F53" s="6" t="s">
        <v>25</v>
      </c>
      <c r="G53" s="14">
        <v>46172</v>
      </c>
      <c r="H53" s="15">
        <v>0.66666666666666663</v>
      </c>
      <c r="I53">
        <v>7</v>
      </c>
      <c r="N53" s="4"/>
      <c r="Q53" s="7"/>
    </row>
    <row r="54" spans="1:19" x14ac:dyDescent="0.25">
      <c r="A54" s="8" t="s">
        <v>13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 t="s">
        <v>30</v>
      </c>
      <c r="G55" s="11" t="s">
        <v>27</v>
      </c>
      <c r="H55" s="10">
        <v>3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 t="s">
        <v>53</v>
      </c>
      <c r="G56" s="11" t="s">
        <v>54</v>
      </c>
      <c r="H56" s="10">
        <v>1</v>
      </c>
      <c r="I56" s="1"/>
      <c r="N56" s="4"/>
    </row>
    <row r="57" spans="1:19" x14ac:dyDescent="0.25">
      <c r="A57" s="8" t="s">
        <v>13</v>
      </c>
      <c r="B57" s="11"/>
      <c r="C57" s="10"/>
      <c r="D57" s="5"/>
      <c r="I57" s="4"/>
      <c r="K57" s="6" t="s">
        <v>25</v>
      </c>
      <c r="L57" s="14">
        <v>46172</v>
      </c>
      <c r="M57" s="15">
        <v>0.72916666666666663</v>
      </c>
      <c r="N57">
        <v>8</v>
      </c>
      <c r="O57" s="16"/>
    </row>
    <row r="58" spans="1:19" x14ac:dyDescent="0.25">
      <c r="A58" s="8" t="s">
        <v>53</v>
      </c>
      <c r="B58" s="11" t="s">
        <v>54</v>
      </c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 t="s">
        <v>30</v>
      </c>
      <c r="L59" s="9" t="s">
        <v>27</v>
      </c>
      <c r="M59" s="10">
        <v>1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 t="s">
        <v>45</v>
      </c>
      <c r="L60" s="9" t="s">
        <v>41</v>
      </c>
      <c r="M60" s="10">
        <v>3</v>
      </c>
    </row>
    <row r="61" spans="1:19" x14ac:dyDescent="0.25">
      <c r="A61" s="8" t="s">
        <v>45</v>
      </c>
      <c r="B61" s="11" t="s">
        <v>41</v>
      </c>
      <c r="C61" s="10"/>
      <c r="D61" s="2"/>
      <c r="F61" s="6" t="s">
        <v>25</v>
      </c>
      <c r="G61" s="14">
        <v>46172</v>
      </c>
      <c r="H61" s="15">
        <v>0.66666666666666663</v>
      </c>
      <c r="I61" s="4">
        <v>8</v>
      </c>
    </row>
    <row r="62" spans="1:19" x14ac:dyDescent="0.25">
      <c r="A62" s="8" t="s">
        <v>13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 t="s">
        <v>45</v>
      </c>
      <c r="G63" s="11" t="s">
        <v>41</v>
      </c>
      <c r="H63" s="10">
        <v>3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 t="s">
        <v>33</v>
      </c>
      <c r="G64" s="11" t="s">
        <v>27</v>
      </c>
      <c r="H64" s="10">
        <v>0</v>
      </c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33</v>
      </c>
      <c r="B66" s="11" t="s">
        <v>27</v>
      </c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48" operator="containsText" text="Bye">
      <formula>NOT(ISERROR(SEARCH("Bye",A5)))</formula>
    </cfRule>
  </conditionalFormatting>
  <conditionalFormatting sqref="F5">
    <cfRule type="containsText" dxfId="27" priority="16" operator="containsText" text="Bye">
      <formula>NOT(ISERROR(SEARCH("Bye",F5)))</formula>
    </cfRule>
  </conditionalFormatting>
  <conditionalFormatting sqref="F7:F8">
    <cfRule type="containsText" dxfId="26" priority="46" operator="containsText" text="Bye">
      <formula>NOT(ISERROR(SEARCH("Bye",F7)))</formula>
    </cfRule>
  </conditionalFormatting>
  <conditionalFormatting sqref="F13">
    <cfRule type="containsText" dxfId="25" priority="15" operator="containsText" text="Bye">
      <formula>NOT(ISERROR(SEARCH("Bye",F13)))</formula>
    </cfRule>
  </conditionalFormatting>
  <conditionalFormatting sqref="F15:F16">
    <cfRule type="containsText" dxfId="24" priority="44" operator="containsText" text="Bye">
      <formula>NOT(ISERROR(SEARCH("Bye",F15)))</formula>
    </cfRule>
  </conditionalFormatting>
  <conditionalFormatting sqref="F21">
    <cfRule type="containsText" dxfId="23" priority="14" operator="containsText" text="Bye">
      <formula>NOT(ISERROR(SEARCH("Bye",F21)))</formula>
    </cfRule>
  </conditionalFormatting>
  <conditionalFormatting sqref="F23:F24">
    <cfRule type="containsText" dxfId="22" priority="42" operator="containsText" text="Bye">
      <formula>NOT(ISERROR(SEARCH("Bye",F23)))</formula>
    </cfRule>
  </conditionalFormatting>
  <conditionalFormatting sqref="F29">
    <cfRule type="containsText" dxfId="21" priority="13" operator="containsText" text="Bye">
      <formula>NOT(ISERROR(SEARCH("Bye",F29)))</formula>
    </cfRule>
  </conditionalFormatting>
  <conditionalFormatting sqref="F31:F32">
    <cfRule type="containsText" dxfId="20" priority="40" operator="containsText" text="Bye">
      <formula>NOT(ISERROR(SEARCH("Bye",F31)))</formula>
    </cfRule>
  </conditionalFormatting>
  <conditionalFormatting sqref="F37">
    <cfRule type="containsText" dxfId="19" priority="12" operator="containsText" text="Bye">
      <formula>NOT(ISERROR(SEARCH("Bye",F37)))</formula>
    </cfRule>
  </conditionalFormatting>
  <conditionalFormatting sqref="F39:F40">
    <cfRule type="containsText" dxfId="18" priority="38" operator="containsText" text="Bye">
      <formula>NOT(ISERROR(SEARCH("Bye",F39)))</formula>
    </cfRule>
  </conditionalFormatting>
  <conditionalFormatting sqref="F45">
    <cfRule type="containsText" dxfId="17" priority="11" operator="containsText" text="Bye">
      <formula>NOT(ISERROR(SEARCH("Bye",F45)))</formula>
    </cfRule>
  </conditionalFormatting>
  <conditionalFormatting sqref="F47:F48">
    <cfRule type="containsText" dxfId="16" priority="36" operator="containsText" text="Bye">
      <formula>NOT(ISERROR(SEARCH("Bye",F47)))</formula>
    </cfRule>
  </conditionalFormatting>
  <conditionalFormatting sqref="F53">
    <cfRule type="containsText" dxfId="15" priority="10" operator="containsText" text="Bye">
      <formula>NOT(ISERROR(SEARCH("Bye",F53)))</formula>
    </cfRule>
  </conditionalFormatting>
  <conditionalFormatting sqref="F55:F56">
    <cfRule type="containsText" dxfId="14" priority="34" operator="containsText" text="Bye">
      <formula>NOT(ISERROR(SEARCH("Bye",F55)))</formula>
    </cfRule>
  </conditionalFormatting>
  <conditionalFormatting sqref="F61">
    <cfRule type="containsText" dxfId="13" priority="9" operator="containsText" text="Bye">
      <formula>NOT(ISERROR(SEARCH("Bye",F61)))</formula>
    </cfRule>
  </conditionalFormatting>
  <conditionalFormatting sqref="F63:F64">
    <cfRule type="containsText" dxfId="12" priority="31" operator="containsText" text="Bye">
      <formula>NOT(ISERROR(SEARCH("Bye",F63)))</formula>
    </cfRule>
  </conditionalFormatting>
  <conditionalFormatting sqref="K9">
    <cfRule type="containsText" dxfId="11" priority="8" operator="containsText" text="Bye">
      <formula>NOT(ISERROR(SEARCH("Bye",K9)))</formula>
    </cfRule>
  </conditionalFormatting>
  <conditionalFormatting sqref="K11:K12">
    <cfRule type="containsText" dxfId="10" priority="23" operator="containsText" text="Bye">
      <formula>NOT(ISERROR(SEARCH("Bye",K11)))</formula>
    </cfRule>
  </conditionalFormatting>
  <conditionalFormatting sqref="K25">
    <cfRule type="containsText" dxfId="9" priority="7" operator="containsText" text="Bye">
      <formula>NOT(ISERROR(SEARCH("Bye",K25)))</formula>
    </cfRule>
  </conditionalFormatting>
  <conditionalFormatting sqref="K27:K28">
    <cfRule type="containsText" dxfId="8" priority="25" operator="containsText" text="Bye">
      <formula>NOT(ISERROR(SEARCH("Bye",K27)))</formula>
    </cfRule>
  </conditionalFormatting>
  <conditionalFormatting sqref="K41">
    <cfRule type="containsText" dxfId="7" priority="6" operator="containsText" text="Bye">
      <formula>NOT(ISERROR(SEARCH("Bye",K41)))</formula>
    </cfRule>
  </conditionalFormatting>
  <conditionalFormatting sqref="K43:K44">
    <cfRule type="containsText" dxfId="6" priority="27" operator="containsText" text="Bye">
      <formula>NOT(ISERROR(SEARCH("Bye",K43)))</formula>
    </cfRule>
  </conditionalFormatting>
  <conditionalFormatting sqref="K57">
    <cfRule type="containsText" dxfId="5" priority="5" operator="containsText" text="Bye">
      <formula>NOT(ISERROR(SEARCH("Bye",K57)))</formula>
    </cfRule>
  </conditionalFormatting>
  <conditionalFormatting sqref="K59:K60">
    <cfRule type="containsText" dxfId="4" priority="29" operator="containsText" text="Bye">
      <formula>NOT(ISERROR(SEARCH("Bye",K59)))</formula>
    </cfRule>
  </conditionalFormatting>
  <conditionalFormatting sqref="P17">
    <cfRule type="containsText" dxfId="3" priority="4" operator="containsText" text="Bye">
      <formula>NOT(ISERROR(SEARCH("Bye",P17)))</formula>
    </cfRule>
  </conditionalFormatting>
  <conditionalFormatting sqref="P19:P20">
    <cfRule type="containsText" dxfId="2" priority="21" operator="containsText" text="Bye">
      <formula>NOT(ISERROR(SEARCH("Bye",P19)))</formula>
    </cfRule>
  </conditionalFormatting>
  <conditionalFormatting sqref="P50:P52">
    <cfRule type="containsText" dxfId="1" priority="1" operator="containsText" text="Bye">
      <formula>NOT(ISERROR(SEARCH("Bye",P50)))</formula>
    </cfRule>
  </conditionalFormatting>
  <conditionalFormatting sqref="U34:U36">
    <cfRule type="containsText" dxfId="0" priority="2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2026-05-30T16:16:37Z</dcterms:modified>
</cp:coreProperties>
</file>